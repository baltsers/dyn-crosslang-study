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d" sheetId="1" r:id="rId4"/>
    <sheet state="visible" name="Subject summary" sheetId="2" r:id="rId5"/>
    <sheet state="visible" name="Criteria" sheetId="3" r:id="rId6"/>
    <sheet state="visible" name="Trace Size" sheetId="4" r:id="rId7"/>
    <sheet state="visible" name="MongoDB" sheetId="5" r:id="rId8"/>
    <sheet state="visible" name="Deap" sheetId="6" r:id="rId9"/>
    <sheet state="visible" name="Pyrasite" sheetId="7" r:id="rId10"/>
    <sheet state="visible" name="Pyjnius" sheetId="8" r:id="rId11"/>
    <sheet state="visible" name="Pysonar2" sheetId="9" r:id="rId12"/>
    <sheet state="visible" name="Affinity" sheetId="10" r:id="rId13"/>
    <sheet state="visible" name="Vertx" sheetId="11" r:id="rId14"/>
    <sheet state="visible" name="snappy" sheetId="12" r:id="rId15"/>
    <sheet state="visible" name="sbe" sheetId="13" r:id="rId16"/>
    <sheet state="visible" name="brotli" sheetId="14" r:id="rId17"/>
  </sheets>
  <definedNames>
    <definedName hidden="1" localSheetId="0" name="_xlnm._FilterDatabase">used!$B$2:$F$2</definedName>
  </definedNames>
  <calcPr/>
  <extLst>
    <ext uri="GoogleSheetsCustomDataVersion1">
      <go:sheetsCustomData xmlns:go="http://customooxmlschemas.google.com/" r:id="rId18" roundtripDataSignature="AMtx7miit1pBYVmwnlKxeECEohIgyxcgpQ=="/>
    </ext>
  </extLst>
</workbook>
</file>

<file path=xl/sharedStrings.xml><?xml version="1.0" encoding="utf-8"?>
<sst xmlns="http://schemas.openxmlformats.org/spreadsheetml/2006/main" count="444" uniqueCount="280">
  <si>
    <t>Subject</t>
  </si>
  <si>
    <t>Language combination</t>
  </si>
  <si>
    <t>Code size</t>
  </si>
  <si>
    <t>#Queries finished</t>
  </si>
  <si>
    <t>Time (hours)</t>
  </si>
  <si>
    <t>Pyrasite</t>
  </si>
  <si>
    <t>Affinity</t>
  </si>
  <si>
    <t>24+</t>
  </si>
  <si>
    <t>Pyjnius</t>
  </si>
  <si>
    <t>Snappy</t>
  </si>
  <si>
    <t>Pysonar2</t>
  </si>
  <si>
    <t>Deap</t>
  </si>
  <si>
    <t>sbe</t>
  </si>
  <si>
    <t>brotli</t>
  </si>
  <si>
    <t>Vertx</t>
  </si>
  <si>
    <t>Mongo</t>
  </si>
  <si>
    <t>C++, Javascript, Python</t>
  </si>
  <si>
    <t>(JSON:67.3%,Python:24.9%, C/C++:2.7%)</t>
  </si>
  <si>
    <t>(JSON:40.8%,Python:38.3%, C/C++:7.0%)</t>
  </si>
  <si>
    <t>(Python:62.5%, C/C++:15.2%)</t>
  </si>
  <si>
    <t>(Python:56.5%, Java: 13.7%)</t>
  </si>
  <si>
    <t>(Java:61.9%, JSON: 32.7%, Python:4.0%)</t>
  </si>
  <si>
    <t>(Java:85.0%, C/C++: 2.7%)</t>
  </si>
  <si>
    <t>(Java:54.2%,JSON:21.8%, C/C++:13.8%)</t>
  </si>
  <si>
    <t>(Java:44.0%, C/C++: 2.0%, C/C++ Header: 36.0%)</t>
  </si>
  <si>
    <t>(Java:57.5%, C/C++: 12.0%)</t>
  </si>
  <si>
    <t>(Java:12.9%, C/C++: 42.0%, Python:3.9%)</t>
  </si>
  <si>
    <t>Language profile</t>
  </si>
  <si>
    <t>Total size</t>
  </si>
  <si>
    <t>working criteria</t>
  </si>
  <si>
    <t>average time cost per working criterion</t>
  </si>
  <si>
    <t>total</t>
  </si>
  <si>
    <t>27/100</t>
  </si>
  <si>
    <t>10 in Python (7 available)</t>
  </si>
  <si>
    <t>8 in Python, 2 in C++ (10 available)</t>
  </si>
  <si>
    <t>8 in Python, 2 in Java (10 available)</t>
  </si>
  <si>
    <t>2.5 MB</t>
  </si>
  <si>
    <t>15.2 MB</t>
  </si>
  <si>
    <t>25.7 MB</t>
  </si>
  <si>
    <t xml:space="preserve">Language Total: 12 </t>
  </si>
  <si>
    <t>line</t>
  </si>
  <si>
    <t>Query</t>
  </si>
  <si>
    <t>time cost</t>
  </si>
  <si>
    <t xml:space="preserve">JSON   </t>
  </si>
  <si>
    <t>work/bson/_cbsonmodule.c; 163 diff</t>
  </si>
  <si>
    <t>time out 24hrs</t>
  </si>
  <si>
    <t xml:space="preserve">Python     </t>
  </si>
  <si>
    <t>work/bson/_cbsonmodule; 189 millis</t>
  </si>
  <si>
    <t xml:space="preserve">reStructuredText     </t>
  </si>
  <si>
    <t>work/bson/time64.c; 256 seconds</t>
  </si>
  <si>
    <t xml:space="preserve">C    </t>
  </si>
  <si>
    <t>work/bson/time64.c; 356 year_cycle</t>
  </si>
  <si>
    <t xml:space="preserve">YAML       </t>
  </si>
  <si>
    <t>work/pymongo/_cmessagemodule.c; 489 length</t>
  </si>
  <si>
    <t xml:space="preserve">C/C++ Header       </t>
  </si>
  <si>
    <t>work/pymongo/_cmessagemodule.c; 788 flags</t>
  </si>
  <si>
    <t xml:space="preserve">Bourne Shell      </t>
  </si>
  <si>
    <t>work/bson/_cmessagemodule.c; 2352 *position</t>
  </si>
  <si>
    <t xml:space="preserve">JavaScript       </t>
  </si>
  <si>
    <t>work/bson/_cmessagemodule.c; 189 millis</t>
  </si>
  <si>
    <t xml:space="preserve">CSS         </t>
  </si>
  <si>
    <t>work/bson/buffer.c; 99 size</t>
  </si>
  <si>
    <t xml:space="preserve">DOS Batch        </t>
  </si>
  <si>
    <t>work/encoding_helpers.c; 116 sequence_length</t>
  </si>
  <si>
    <t xml:space="preserve">make            </t>
  </si>
  <si>
    <t xml:space="preserve">HTML        </t>
  </si>
  <si>
    <t>Language: 13</t>
  </si>
  <si>
    <t xml:space="preserve">JSON                   </t>
  </si>
  <si>
    <t>Orig Size</t>
  </si>
  <si>
    <t>Python</t>
  </si>
  <si>
    <t>C++</t>
  </si>
  <si>
    <t>Sum</t>
  </si>
  <si>
    <t>slice/orig</t>
  </si>
  <si>
    <t>work/deap/gp.py; 1070 naturalhist[0]</t>
  </si>
  <si>
    <t>70654893 ms = 1177.58 mins = 19.6264 hrs</t>
  </si>
  <si>
    <t xml:space="preserve">Python          </t>
  </si>
  <si>
    <t>work/deap/gp.py; 1201 stack[-1][1]</t>
  </si>
  <si>
    <t>71407163 ms = 1190.12 mins = 19.8353 hrs</t>
  </si>
  <si>
    <t xml:space="preserve">reStructuredText             </t>
  </si>
  <si>
    <t>work/deap/gp.py; 183 end</t>
  </si>
  <si>
    <t>86399739ms = 1440 mins = 23.9999 hrs</t>
  </si>
  <si>
    <t xml:space="preserve">C                          </t>
  </si>
  <si>
    <t>work/deap/gp.py; 84 total</t>
  </si>
  <si>
    <t xml:space="preserve">C++               </t>
  </si>
  <si>
    <t>work/deap/benchmarks/movingpeaks.py; 294 shift_length</t>
  </si>
  <si>
    <t>non-deterministic oracle!</t>
  </si>
  <si>
    <t xml:space="preserve">YAML            </t>
  </si>
  <si>
    <t>work/deap/benchmarks/movingpeaks.py; 47 value</t>
  </si>
  <si>
    <t xml:space="preserve">Windows Resource File     </t>
  </si>
  <si>
    <t>work/deap/tools/support.py;  481 startindex</t>
  </si>
  <si>
    <t>79165341ms = 1319.42mins = 21.9904hrs</t>
  </si>
  <si>
    <t xml:space="preserve">JavaScript               </t>
  </si>
  <si>
    <t>work/deap/tools/support.py; 148 depth</t>
  </si>
  <si>
    <t>81371156ms = 1356.19 mins = 22.6031hrs</t>
  </si>
  <si>
    <t xml:space="preserve">CSS                  </t>
  </si>
  <si>
    <t>work/deap/tools/support.py; 105 self.genealogy_index</t>
  </si>
  <si>
    <t>83809186 ms = 1396.82 mins = 23.2803hrs</t>
  </si>
  <si>
    <t xml:space="preserve">Markdown        </t>
  </si>
  <si>
    <t>work/deap/tools/support.py;  481 nlines</t>
  </si>
  <si>
    <t>85505618 ms = 1425.09 mins = 23.7516hrs</t>
  </si>
  <si>
    <t xml:space="preserve">make         </t>
  </si>
  <si>
    <t xml:space="preserve">C/C++ Header </t>
  </si>
  <si>
    <t>Generrate code：</t>
  </si>
  <si>
    <t>HTML</t>
  </si>
  <si>
    <t>Slice No.</t>
  </si>
  <si>
    <t>Slice CLOC of Python</t>
  </si>
  <si>
    <t>Slice CLOC of C++</t>
  </si>
  <si>
    <t>Slice Total CLOC(Python+C++)</t>
  </si>
  <si>
    <t>Original CLOC(Python+C++)</t>
  </si>
  <si>
    <t>Slice Code Keeping ratio</t>
  </si>
  <si>
    <t>Time(hours)</t>
  </si>
  <si>
    <t>Language total: 7</t>
  </si>
  <si>
    <t xml:space="preserve">line </t>
  </si>
  <si>
    <t>Correct time cost</t>
  </si>
  <si>
    <t xml:space="preserve">Python   </t>
  </si>
  <si>
    <t>work/pyrasite/main.py; 36 value</t>
  </si>
  <si>
    <t>4947375 ms = 82.4563 mins = 1.3743 hrs</t>
  </si>
  <si>
    <t>5179828 ms = 86.3305 mins= 1.4388 hrs</t>
  </si>
  <si>
    <t>10788376 ms = 179.8062 mins = 2.9967 hrs</t>
  </si>
  <si>
    <t xml:space="preserve">C++        </t>
  </si>
  <si>
    <t>work/pyrasite/main.py; 131 filename</t>
  </si>
  <si>
    <t>4945812 ms = 82.4302 mins = 1.3738 hrs</t>
  </si>
  <si>
    <t>5173888 ms = 86.2314 mins = 1.4371 hrs</t>
  </si>
  <si>
    <t>11431280 ms = 190.5213 mins = 3.1753 hrs</t>
  </si>
  <si>
    <t xml:space="preserve">reStructuredText    </t>
  </si>
  <si>
    <t>work/pyrasite/main.py; 66 fn</t>
  </si>
  <si>
    <t>4983472 ms = 83.0579 mins = 1.3843 hrs</t>
  </si>
  <si>
    <t>5293118 ms = 88.2186  mins= 1.4703 hrs</t>
  </si>
  <si>
    <t>11346027 ms = 189.1004 mins = 3.1516 hrs</t>
  </si>
  <si>
    <t xml:space="preserve">make                   </t>
  </si>
  <si>
    <t>work/pyrasite/injector.py; 39 filename</t>
  </si>
  <si>
    <t>5067585 ms = 84.4597 mins = 1.4077 hrs</t>
  </si>
  <si>
    <t>5575326 ms = 92.9221 mins = 1.5487 hrs</t>
  </si>
  <si>
    <t>11165351 ms = 186.0891 mins = 3.1014 hrs</t>
  </si>
  <si>
    <t xml:space="preserve">YAML           </t>
  </si>
  <si>
    <t>work/pyrasite/injector.py; 39 gdb_cmds</t>
  </si>
  <si>
    <t>4993528 ms = 83.2255 mins = 1.3871 hrs</t>
  </si>
  <si>
    <t>5672994 ms = 94.5499 mins = 1.5758 hrs</t>
  </si>
  <si>
    <t>12355983 ms = 205.9330 mins = 3.4322 hrs</t>
  </si>
  <si>
    <t>work/pyrasite/ipc.py;  206 data</t>
  </si>
  <si>
    <t>5302000 ms = 88.3667 mins = 1.4728 hrs</t>
  </si>
  <si>
    <t>6998990 ms = 116.6498 mins = 1.9441 hrs</t>
  </si>
  <si>
    <t>INI</t>
  </si>
  <si>
    <t>work/pyrasite/ipc.py; 195 msg_len</t>
  </si>
  <si>
    <t>5133969 ms = 85.5661mins = 1.4261 hrs</t>
  </si>
  <si>
    <t>7016116 ms = 116.9352 mins = 1.9489 hrs</t>
  </si>
  <si>
    <t>work/pyrasite/ipc.py; 185 data</t>
  </si>
  <si>
    <t>5397087 ms = 89.9514mins = 1.4992 hrs</t>
  </si>
  <si>
    <t>6946210 ms = 115.7701 mins = 1.9295 hrs</t>
  </si>
  <si>
    <t>work/pyrasite/win/inject_python.cpp; 48 retCode</t>
  </si>
  <si>
    <t>8927492 ms = 148.79 mins = 2.4799 hrs</t>
  </si>
  <si>
    <t>work/pyrasite/win/inject_python.cpp; 263 ret</t>
  </si>
  <si>
    <t>9471742 ms = 157.86mins = 2.631 hrs</t>
  </si>
  <si>
    <t>Generate code：101</t>
  </si>
  <si>
    <t>Sum(Python+C++)</t>
  </si>
  <si>
    <t>Original Sum(Python+C++)</t>
  </si>
  <si>
    <t>Slicing code keeping percentage</t>
  </si>
  <si>
    <t>Language total: 10</t>
  </si>
  <si>
    <t xml:space="preserve">Python                 </t>
  </si>
  <si>
    <t>work/jnius/env.py; 215 cpu</t>
  </si>
  <si>
    <t>29980075 ms = 499.6679 mins = 8.3277 hrs</t>
  </si>
  <si>
    <t xml:space="preserve">Java                       </t>
  </si>
  <si>
    <t>Java</t>
  </si>
  <si>
    <t>slice/Orig</t>
  </si>
  <si>
    <t>work/jnius/env.py; 143 jdk_home</t>
  </si>
  <si>
    <t>29859290 ms = 497.6548 mins = 8.2942 hrs</t>
  </si>
  <si>
    <t>work/jnius/env.py; 114 jre_home</t>
  </si>
  <si>
    <t>29940356 ms = 499.0059 mins = 8.3167 hrs</t>
  </si>
  <si>
    <t xml:space="preserve">Markdown             </t>
  </si>
  <si>
    <t>work/jnius/env.py; 253 root</t>
  </si>
  <si>
    <t>30087676 ms = 501.4612 mins = 8.3576 hrs</t>
  </si>
  <si>
    <t xml:space="preserve">YAML               </t>
  </si>
  <si>
    <t>work/jnius/reflect.py; 293 cls</t>
  </si>
  <si>
    <t>20852139 ms = 347.5356 mins = 5.7922 hrs</t>
  </si>
  <si>
    <t>work/jnius/reflect.py; 235 c</t>
  </si>
  <si>
    <t>30321092 ms = 505.3515 mins = 8.4225 hrs</t>
  </si>
  <si>
    <t>work/jnius/reflect.py; 210 supercls</t>
  </si>
  <si>
    <t>30316885 ms = 505.2814 mins = 8.4213 hrs</t>
  </si>
  <si>
    <t xml:space="preserve">Cython         </t>
  </si>
  <si>
    <t>work/jnius/reflect.py; 359 sig</t>
  </si>
  <si>
    <t>30307358 ms = 505.1226 mins = 8.4187 hrs</t>
  </si>
  <si>
    <t xml:space="preserve">XML             </t>
  </si>
  <si>
    <t>work/jnius/src/org/jnius/NativeInvocationHandler.java; 13 method</t>
  </si>
  <si>
    <t>16895264 ms = 281.5877 mins = 4.6931 hrs</t>
  </si>
  <si>
    <t>Bourne Shell</t>
  </si>
  <si>
    <t>work/jnius/src/org/jnius/NativeInvocationHandler.java; 32 DEBUG</t>
  </si>
  <si>
    <t>16290681 ms = 271.5113 mins = 4.5251 hrs</t>
  </si>
  <si>
    <t>Java：20</t>
  </si>
  <si>
    <t>Python：421</t>
  </si>
  <si>
    <t>Sum(Python+Java)</t>
  </si>
  <si>
    <t>Original Sum(Python+Java)</t>
  </si>
  <si>
    <t>Language total: 8</t>
  </si>
  <si>
    <t xml:space="preserve">Java    </t>
  </si>
  <si>
    <t>work/src/main/java/org/yinwang/pysonar/ast/Call.java;  27 start</t>
  </si>
  <si>
    <t>work/src/main/java/org/yinwang/pysonar/Analyzer.java; 580 nDef</t>
  </si>
  <si>
    <t xml:space="preserve">Python             </t>
  </si>
  <si>
    <t>work/src/main/java/org/yinwang/pysonar/Binding.java; 103 start</t>
  </si>
  <si>
    <t xml:space="preserve">Maven            </t>
  </si>
  <si>
    <t>work/src/main/java/org/yinwang/pysonar/State.java; 116 b</t>
  </si>
  <si>
    <t>work/src/main/java/org/yinwang/pysonar/ast/ImportFrom.java; 76 col</t>
  </si>
  <si>
    <t xml:space="preserve">JavaScript          </t>
  </si>
  <si>
    <t>work/src/main/java/org/yinwang/pysonar/Parser.java; 941 logCount</t>
  </si>
  <si>
    <t xml:space="preserve">CSS              </t>
  </si>
  <si>
    <t>work/src/main/java/org/yinwang/pysonar/Parser.java; 712 start</t>
  </si>
  <si>
    <t>YAML</t>
  </si>
  <si>
    <t>work/src/main/java/org/yinwang/pysonar/Parser.java; 914 nstart</t>
  </si>
  <si>
    <t>work/src/main/resources/org/yinwang/pysonar/python/dump_python.py； 91 encs</t>
  </si>
  <si>
    <t>work/src/main/resources/org/yinwang/pysonar/python/dump_python.py； 138 col</t>
  </si>
  <si>
    <t>Language total: 6</t>
  </si>
  <si>
    <t xml:space="preserve">Java            </t>
  </si>
  <si>
    <t>work/affinity/src/main/c/software_chronicle_enterprise_internals_impl_NativeAffinity.cpp;  71 size</t>
  </si>
  <si>
    <t xml:space="preserve">Maven             </t>
  </si>
  <si>
    <t>work/affinity/src/main/c/software_chronicle_enterprise_internals_impl_NativeAffinity.cpp; 71 sched_getcpu()</t>
  </si>
  <si>
    <t xml:space="preserve">AsciiDoc             </t>
  </si>
  <si>
    <t>work/affinity/src/main/java/net/openhft/affinity/AffinityLock.java; 389 cpuId</t>
  </si>
  <si>
    <t xml:space="preserve">C++  </t>
  </si>
  <si>
    <t>work/affinity/src/main/java/net/openhft/affinity/AffinityLock.java; 254 lastN</t>
  </si>
  <si>
    <t xml:space="preserve">C         </t>
  </si>
  <si>
    <t>work/affinity/src/main/java/net/openhft/affinity/LockInventory.java; 98 layoutId</t>
  </si>
  <si>
    <t>make</t>
  </si>
  <si>
    <t>work/affinity/src/main/java/net/openhft/affinity/LockInventory.java; 54 i</t>
  </si>
  <si>
    <t>work/affinity/src/main/java/net/openhft/affinity/LockCheck.java; 120 cpu</t>
  </si>
  <si>
    <t>work/affinity/src/main/java/net/openhft/affinity/LockCheck.java; 108 core</t>
  </si>
  <si>
    <t>work/affinity/src/main/java/net/openhft/affinity/AffinityStrategies.java; 53 cpuId</t>
  </si>
  <si>
    <t>work/affinity/src/main/java/net/openhft/affinity/AffinityStrategies.java;53 cpuLayout</t>
  </si>
  <si>
    <t>Language total: 15</t>
  </si>
  <si>
    <t>work/vertx-web/src/test/sockjs-protocol/sockjs-protocol.py; 305 url</t>
  </si>
  <si>
    <t xml:space="preserve">Java                     </t>
  </si>
  <si>
    <t>work/vertx-web/src/test/sockjs-protocol/sockjs-protocol.py; 106 r</t>
  </si>
  <si>
    <t xml:space="preserve">JSON                    </t>
  </si>
  <si>
    <t>work/vertx-web/src/main/java/io/vertx/ext/web/impl/ForwardedParser.java;195 host</t>
  </si>
  <si>
    <t xml:space="preserve">Python                   </t>
  </si>
  <si>
    <t>work/vertx-web/src/main/java/io/vertx/ext/web/impl/ForwardedParser.java; 195 post</t>
  </si>
  <si>
    <t xml:space="preserve">YAML                   </t>
  </si>
  <si>
    <t>work/vertx-web/src/main/java/io/vertx/ext/web/impl/Origin.java; 92 c</t>
  </si>
  <si>
    <t>work/vertx-web/src/main/java/io/vertx/ext/web/impl/Origin.java; 142 sep0</t>
  </si>
  <si>
    <t xml:space="preserve">Maven                  </t>
  </si>
  <si>
    <t>work/vertx-web/src/main/java/io/vertx/ext/web/RoutingContext.java; 749 contentType</t>
  </si>
  <si>
    <t xml:space="preserve">HTML                    </t>
  </si>
  <si>
    <t>work/vertx-web/src/main/java/io/vertx/ext/web/RoutingContext.java; 802 etag</t>
  </si>
  <si>
    <t xml:space="preserve">JavaScript             </t>
  </si>
  <si>
    <t>work/vertx-web/src/main/java/io/vertx/ext/web/impl/RouteState.java; 877 strip</t>
  </si>
  <si>
    <t xml:space="preserve">Markdown               </t>
  </si>
  <si>
    <t>work/vertx-web/src/main/java/io/vertx/ext/web/impl/RouteState.java; 1053 reqLen</t>
  </si>
  <si>
    <t>XML</t>
  </si>
  <si>
    <t xml:space="preserve">Freemarker Template        </t>
  </si>
  <si>
    <t xml:space="preserve">Bourne Shell                  </t>
  </si>
  <si>
    <t xml:space="preserve">Handlebars               </t>
  </si>
  <si>
    <t xml:space="preserve">CSS                         </t>
  </si>
  <si>
    <t>DOS Batch</t>
  </si>
  <si>
    <t>work/src/main/java/org/xerial/snappy/SnappyNative.cpp; 103 in</t>
  </si>
  <si>
    <t>work/src/main/java/org/xerial/snappy/SnappyNative.cpp; 102 out</t>
  </si>
  <si>
    <t>work/src/main/java/org/xerial/snappy/BitShuffleNative.cpp; 57 processedBytes</t>
  </si>
  <si>
    <t>work/src/main/java/org/xerial/snappy/BitShuffleNative.cpp; 129 processedBytes</t>
  </si>
  <si>
    <t>work/src/main/java/org/xerial/snappy/BitShuffle.java; 79 uLen</t>
  </si>
  <si>
    <t>work/src/main/java/org/xerial/snappy/BitShuffle.java; 192 typeSize</t>
  </si>
  <si>
    <t>work/src/main/java/org/xerial/snappy/Snappy.java; 554 cPos</t>
  </si>
  <si>
    <t>work/src/main/java/org/xerial/snappy/Snappy.java; 796 uncompressedLength</t>
  </si>
  <si>
    <t>work/src/main/java/org/xerial/snappy/SnappyLoader.java; 230 ch</t>
  </si>
  <si>
    <t>work/src/main/java/org/xerial/snappy/SnappyLoader.java; 230 ch2</t>
  </si>
  <si>
    <t>work/sbe-tool/src/test/cpp/Rc3OtfFullIrTest.cpp; 1041 m_eventNumber</t>
  </si>
  <si>
    <t>work/sbe-tool/src/test/cpp/Rc3OtfFullIrTest.cpp; 569 name</t>
  </si>
  <si>
    <t>work/sbe-tool/src/main/java/uk/co/real_logic/sbe/generation/java/JavaGenerator.java; 202 className</t>
  </si>
  <si>
    <t>work/sbe-tool/src/main/java/uk/co/real_logic/sbe/generation/java/JavaGenerator.java; 287 i</t>
  </si>
  <si>
    <t>work/sbe-tool/src/main/java/uk/co/real_logic/sbe/SbeTool.java; 216 args</t>
  </si>
  <si>
    <t>work/sbe-tool/src/main/java/uk/co/real_logic/sbe/SbeTool.java; 296 path</t>
  </si>
  <si>
    <t>work/sbe-tool/src/main/java/uk/co/real_logic/sbe/PrimitiveValue.java; 287 length</t>
  </si>
  <si>
    <t>work/sbe-tool/src/main/java/uk/co/real_logic/sbe/PrimitiveValue.java; 287 bytes</t>
  </si>
  <si>
    <t>work/sbe-tool/src/main/java/uk/co/real_logic/sbe/ValidationUtil.java; 201 value</t>
  </si>
  <si>
    <t>work/sbe-tool/src/main/java/uk/co/real_logic/sbe/ValidationUtil.java; 506 c</t>
  </si>
  <si>
    <t>work/python/bro.py; 121 parser</t>
  </si>
  <si>
    <t>work/python/bro.py; 38 stream</t>
  </si>
  <si>
    <t>work/java/org/brotli/dec/Decode.java; 398 offset</t>
  </si>
  <si>
    <t>work/java/org/brotli/dec/Decode.java; 376 s</t>
  </si>
  <si>
    <t>work/c/enc/encode.c; 206 result</t>
  </si>
  <si>
    <t>work/c/enc/encode.c; 225 htsize</t>
  </si>
  <si>
    <t>work/c/enc/encode.c; 373 dummy</t>
  </si>
  <si>
    <t>work/c/dec/decode.c; 165 n</t>
  </si>
  <si>
    <t>work/c/dec/decode.c 190 bits</t>
  </si>
  <si>
    <t>work/c/dec/decode.c; 508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</si>
</sst>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);(#,##0)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i/>
      <sz val="10.0"/>
      <color rgb="FF000000"/>
      <name val="Arial"/>
    </font>
    <font>
      <color theme="1"/>
      <name val="Arial"/>
      <scheme val="minor"/>
    </font>
    <font>
      <sz val="10.0"/>
      <color rgb="FF99999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1" numFmtId="3" xfId="0" applyBorder="1" applyFont="1" applyNumberFormat="1"/>
    <xf borderId="1" fillId="0" fontId="3" numFmtId="0" xfId="0" applyBorder="1" applyFont="1"/>
    <xf borderId="1" fillId="0" fontId="3" numFmtId="0" xfId="0" applyAlignment="1" applyBorder="1" applyFont="1">
      <alignment horizontal="right"/>
    </xf>
    <xf borderId="1" fillId="0" fontId="2" numFmtId="0" xfId="0" applyAlignment="1" applyBorder="1" applyFont="1">
      <alignment horizontal="right"/>
    </xf>
    <xf borderId="0" fillId="0" fontId="1" numFmtId="0" xfId="0" applyFont="1"/>
    <xf borderId="2" fillId="2" fontId="2" numFmtId="0" xfId="0" applyAlignment="1" applyBorder="1" applyFill="1" applyFont="1">
      <alignment horizontal="left"/>
    </xf>
    <xf borderId="0" fillId="0" fontId="1" numFmtId="3" xfId="0" applyFont="1" applyNumberFormat="1"/>
    <xf borderId="0" fillId="0" fontId="4" numFmtId="0" xfId="0" applyFont="1"/>
    <xf borderId="0" fillId="0" fontId="2" numFmtId="9" xfId="0" applyFont="1" applyNumberFormat="1"/>
    <xf borderId="0" fillId="0" fontId="4" numFmtId="164" xfId="0" applyFont="1" applyNumberFormat="1"/>
    <xf borderId="0" fillId="0" fontId="2" numFmtId="2" xfId="0" applyFont="1" applyNumberFormat="1"/>
    <xf borderId="0" fillId="0" fontId="4" numFmtId="164" xfId="0" applyAlignment="1" applyFont="1" applyNumberFormat="1">
      <alignment readingOrder="0"/>
    </xf>
    <xf borderId="0" fillId="0" fontId="5" numFmtId="0" xfId="0" applyFont="1"/>
    <xf borderId="0" fillId="0" fontId="4" numFmtId="164" xfId="0" applyFont="1" applyNumberFormat="1"/>
    <xf borderId="0" fillId="0" fontId="1" numFmtId="2" xfId="0" applyFont="1" applyNumberFormat="1"/>
    <xf borderId="0" fillId="0" fontId="4" numFmtId="3" xfId="0" applyFont="1" applyNumberFormat="1"/>
    <xf borderId="0" fillId="0" fontId="4" numFmtId="3" xfId="0" applyAlignment="1" applyFont="1" applyNumberFormat="1">
      <alignment readingOrder="0"/>
    </xf>
    <xf borderId="2" fillId="2" fontId="2" numFmtId="2" xfId="0" applyAlignment="1" applyBorder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.25"/>
    <col customWidth="1" min="3" max="3" width="21.75"/>
    <col customWidth="1" min="4" max="4" width="11.25"/>
    <col customWidth="1" min="5" max="5" width="17.63"/>
    <col customWidth="1" min="6" max="6" width="13.63"/>
    <col customWidth="1" min="7" max="26" width="8.63"/>
  </cols>
  <sheetData>
    <row r="1" ht="12.75" customHeight="1"/>
    <row r="2" ht="12.75" customHeight="1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</row>
    <row r="3" ht="12.75" customHeight="1">
      <c r="B3" s="1" t="s">
        <v>5</v>
      </c>
      <c r="C3" s="2"/>
      <c r="D3" s="3">
        <v>1580.0</v>
      </c>
      <c r="E3" s="2">
        <v>10.0</v>
      </c>
      <c r="F3" s="2">
        <v>2.67</v>
      </c>
    </row>
    <row r="4" ht="12.75" customHeight="1">
      <c r="B4" s="1" t="s">
        <v>6</v>
      </c>
      <c r="C4" s="2"/>
      <c r="D4" s="3">
        <v>4677.0</v>
      </c>
      <c r="E4" s="4">
        <v>0.0</v>
      </c>
      <c r="F4" s="5" t="s">
        <v>7</v>
      </c>
    </row>
    <row r="5" ht="12.75" customHeight="1">
      <c r="B5" s="1" t="s">
        <v>8</v>
      </c>
      <c r="C5" s="2"/>
      <c r="D5" s="3">
        <v>5071.0</v>
      </c>
      <c r="E5" s="2">
        <v>10.0</v>
      </c>
      <c r="F5" s="6">
        <v>7.36</v>
      </c>
    </row>
    <row r="6" ht="12.75" customHeight="1">
      <c r="B6" s="1" t="s">
        <v>9</v>
      </c>
      <c r="C6" s="2"/>
      <c r="D6" s="3">
        <v>14615.0</v>
      </c>
      <c r="E6" s="4">
        <v>0.0</v>
      </c>
      <c r="F6" s="5" t="s">
        <v>7</v>
      </c>
    </row>
    <row r="7" ht="12.75" customHeight="1">
      <c r="B7" s="1" t="s">
        <v>10</v>
      </c>
      <c r="C7" s="2"/>
      <c r="D7" s="3">
        <v>18247.0</v>
      </c>
      <c r="E7" s="4">
        <v>0.0</v>
      </c>
      <c r="F7" s="5" t="s">
        <v>7</v>
      </c>
    </row>
    <row r="8" ht="12.75" customHeight="1">
      <c r="B8" s="1" t="s">
        <v>11</v>
      </c>
      <c r="C8" s="2"/>
      <c r="D8" s="3">
        <v>22491.0</v>
      </c>
      <c r="E8" s="2">
        <v>7.0</v>
      </c>
      <c r="F8" s="6">
        <v>22.2</v>
      </c>
    </row>
    <row r="9" ht="12.75" customHeight="1">
      <c r="B9" s="1" t="s">
        <v>12</v>
      </c>
      <c r="C9" s="2"/>
      <c r="D9" s="3">
        <v>48406.0</v>
      </c>
      <c r="E9" s="4">
        <v>0.0</v>
      </c>
      <c r="F9" s="5" t="s">
        <v>7</v>
      </c>
    </row>
    <row r="10" ht="12.75" customHeight="1">
      <c r="B10" s="1" t="s">
        <v>13</v>
      </c>
      <c r="C10" s="2"/>
      <c r="D10" s="3">
        <v>51073.0</v>
      </c>
      <c r="E10" s="4">
        <v>0.0</v>
      </c>
      <c r="F10" s="5" t="s">
        <v>7</v>
      </c>
    </row>
    <row r="11" ht="12.75" customHeight="1">
      <c r="B11" s="1" t="s">
        <v>14</v>
      </c>
      <c r="C11" s="2"/>
      <c r="D11" s="3">
        <v>124942.0</v>
      </c>
      <c r="E11" s="4">
        <v>0.0</v>
      </c>
      <c r="F11" s="5" t="s">
        <v>7</v>
      </c>
    </row>
    <row r="12" ht="12.75" customHeight="1">
      <c r="B12" s="1" t="s">
        <v>15</v>
      </c>
      <c r="C12" s="2" t="s">
        <v>16</v>
      </c>
      <c r="D12" s="3">
        <v>178735.0</v>
      </c>
      <c r="E12" s="4">
        <v>0.0</v>
      </c>
      <c r="F12" s="5" t="s">
        <v>7</v>
      </c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>
      <c r="C18" s="7" t="s">
        <v>15</v>
      </c>
      <c r="D18" s="7" t="s">
        <v>17</v>
      </c>
    </row>
    <row r="19" ht="12.75" customHeight="1">
      <c r="C19" s="7" t="s">
        <v>11</v>
      </c>
      <c r="D19" s="8" t="s">
        <v>18</v>
      </c>
    </row>
    <row r="20" ht="12.75" customHeight="1">
      <c r="C20" s="7" t="s">
        <v>5</v>
      </c>
      <c r="D20" s="8" t="s">
        <v>19</v>
      </c>
    </row>
    <row r="21" ht="12.75" customHeight="1">
      <c r="C21" s="7" t="s">
        <v>8</v>
      </c>
      <c r="D21" s="7" t="s">
        <v>20</v>
      </c>
    </row>
    <row r="22" ht="12.75" customHeight="1">
      <c r="C22" s="7" t="s">
        <v>10</v>
      </c>
      <c r="D22" s="7" t="s">
        <v>21</v>
      </c>
    </row>
    <row r="23" ht="12.75" customHeight="1">
      <c r="C23" s="7" t="s">
        <v>6</v>
      </c>
      <c r="D23" s="7" t="s">
        <v>22</v>
      </c>
    </row>
    <row r="24" ht="12.75" customHeight="1">
      <c r="C24" s="7" t="s">
        <v>14</v>
      </c>
      <c r="D24" s="7" t="s">
        <v>23</v>
      </c>
    </row>
    <row r="25" ht="12.75" customHeight="1">
      <c r="C25" s="7" t="s">
        <v>9</v>
      </c>
      <c r="D25" s="8" t="s">
        <v>24</v>
      </c>
    </row>
    <row r="26" ht="12.75" customHeight="1">
      <c r="C26" s="7" t="s">
        <v>12</v>
      </c>
      <c r="D26" s="8" t="s">
        <v>25</v>
      </c>
    </row>
    <row r="27" ht="12.75" customHeight="1">
      <c r="C27" s="7" t="s">
        <v>13</v>
      </c>
      <c r="D27" s="8" t="s">
        <v>26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B$2:$F$2">
    <sortState ref="B2:F2">
      <sortCondition ref="D2"/>
    </sortState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44.38"/>
    <col customWidth="1" min="4" max="26" width="14.38"/>
  </cols>
  <sheetData>
    <row r="1" ht="15.75" customHeight="1"/>
    <row r="2" ht="15.75" customHeight="1">
      <c r="B2" s="7" t="s">
        <v>0</v>
      </c>
      <c r="C2" s="7" t="s">
        <v>27</v>
      </c>
      <c r="D2" s="7" t="s">
        <v>28</v>
      </c>
      <c r="G2" s="7" t="s">
        <v>29</v>
      </c>
      <c r="H2" s="7" t="s">
        <v>30</v>
      </c>
    </row>
    <row r="3" ht="15.75" customHeight="1">
      <c r="B3" s="7" t="s">
        <v>15</v>
      </c>
      <c r="C3" s="7" t="s">
        <v>17</v>
      </c>
      <c r="D3" s="9">
        <v>178735.0</v>
      </c>
      <c r="G3" s="7">
        <v>0.0</v>
      </c>
    </row>
    <row r="4" ht="15.75" customHeight="1">
      <c r="B4" s="7" t="s">
        <v>11</v>
      </c>
      <c r="C4" s="8" t="s">
        <v>18</v>
      </c>
      <c r="D4" s="9">
        <v>22491.0</v>
      </c>
      <c r="G4" s="7">
        <v>7.0</v>
      </c>
      <c r="H4" s="7">
        <v>22.2</v>
      </c>
    </row>
    <row r="5" ht="15.75" customHeight="1">
      <c r="B5" s="7" t="s">
        <v>5</v>
      </c>
      <c r="C5" s="8" t="s">
        <v>19</v>
      </c>
      <c r="D5" s="9">
        <v>1580.0</v>
      </c>
      <c r="G5" s="7">
        <v>10.0</v>
      </c>
      <c r="H5" s="7">
        <v>2.67</v>
      </c>
    </row>
    <row r="6" ht="15.75" customHeight="1">
      <c r="B6" s="7" t="s">
        <v>8</v>
      </c>
      <c r="C6" s="7" t="s">
        <v>20</v>
      </c>
      <c r="D6" s="9">
        <v>5071.0</v>
      </c>
      <c r="G6" s="7">
        <v>10.0</v>
      </c>
      <c r="H6" s="7">
        <v>7.36</v>
      </c>
    </row>
    <row r="7" ht="15.75" customHeight="1">
      <c r="B7" s="7" t="s">
        <v>10</v>
      </c>
      <c r="C7" s="7" t="s">
        <v>21</v>
      </c>
      <c r="D7" s="9">
        <v>18247.0</v>
      </c>
      <c r="G7" s="7">
        <v>0.0</v>
      </c>
    </row>
    <row r="8" ht="15.75" customHeight="1">
      <c r="B8" s="7" t="s">
        <v>6</v>
      </c>
      <c r="C8" s="7" t="s">
        <v>22</v>
      </c>
      <c r="D8" s="7">
        <v>4677.0</v>
      </c>
      <c r="G8" s="7">
        <v>0.0</v>
      </c>
    </row>
    <row r="9" ht="15.75" customHeight="1">
      <c r="B9" s="7" t="s">
        <v>14</v>
      </c>
      <c r="C9" s="7" t="s">
        <v>23</v>
      </c>
      <c r="D9" s="7">
        <v>124942.0</v>
      </c>
      <c r="G9" s="7">
        <v>0.0</v>
      </c>
    </row>
    <row r="10" ht="15.75" customHeight="1">
      <c r="B10" s="7" t="s">
        <v>9</v>
      </c>
      <c r="C10" s="8" t="s">
        <v>24</v>
      </c>
      <c r="D10" s="7">
        <v>14615.0</v>
      </c>
      <c r="G10" s="7">
        <v>0.0</v>
      </c>
    </row>
    <row r="11" ht="15.75" customHeight="1">
      <c r="B11" s="7" t="s">
        <v>12</v>
      </c>
      <c r="C11" s="8" t="s">
        <v>25</v>
      </c>
      <c r="D11" s="7">
        <v>48406.0</v>
      </c>
      <c r="G11" s="7">
        <v>0.0</v>
      </c>
    </row>
    <row r="12" ht="15.75" customHeight="1">
      <c r="B12" s="7" t="s">
        <v>13</v>
      </c>
      <c r="C12" s="8" t="s">
        <v>26</v>
      </c>
      <c r="D12" s="7">
        <v>51073.0</v>
      </c>
      <c r="G12" s="7">
        <v>0.0</v>
      </c>
    </row>
    <row r="13" ht="15.75" customHeight="1">
      <c r="F13" s="7" t="s">
        <v>31</v>
      </c>
      <c r="G13" s="7" t="s">
        <v>32</v>
      </c>
      <c r="H13" s="7">
        <f>(7*22.2+10*2.67+10*7.36)/(7+10+10)</f>
        <v>9.47037037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25"/>
    <col customWidth="1" min="3" max="26" width="8.63"/>
  </cols>
  <sheetData>
    <row r="1" ht="12.75" customHeight="1"/>
    <row r="2" ht="12.75" customHeight="1"/>
    <row r="3" ht="12.75" customHeight="1">
      <c r="A3" s="10" t="s">
        <v>11</v>
      </c>
      <c r="B3" s="10" t="s">
        <v>33</v>
      </c>
    </row>
    <row r="4" ht="12.75" customHeight="1">
      <c r="A4" s="10" t="s">
        <v>5</v>
      </c>
      <c r="B4" s="10" t="s">
        <v>34</v>
      </c>
    </row>
    <row r="5" ht="12.75" customHeight="1">
      <c r="A5" s="10" t="s">
        <v>8</v>
      </c>
      <c r="B5" s="10" t="s">
        <v>35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0" t="s">
        <v>11</v>
      </c>
      <c r="B1" s="10" t="s">
        <v>5</v>
      </c>
      <c r="C1" s="10" t="s">
        <v>8</v>
      </c>
    </row>
    <row r="2" ht="12.75" customHeight="1">
      <c r="A2" s="10" t="s">
        <v>36</v>
      </c>
      <c r="B2" s="10" t="s">
        <v>37</v>
      </c>
      <c r="C2" s="10" t="s">
        <v>38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65.0"/>
    <col customWidth="1" min="3" max="3" width="50.75"/>
    <col customWidth="1" min="4" max="4" width="32.0"/>
    <col customWidth="1" min="5" max="5" width="12.63"/>
    <col customWidth="1" min="6" max="6" width="33.25"/>
    <col customWidth="1" min="7" max="26" width="14.38"/>
  </cols>
  <sheetData>
    <row r="1" ht="15.75" customHeight="1">
      <c r="D1" s="7" t="s">
        <v>39</v>
      </c>
      <c r="E1" s="8" t="s">
        <v>40</v>
      </c>
    </row>
    <row r="2" ht="15.75" customHeight="1">
      <c r="B2" s="7" t="s">
        <v>41</v>
      </c>
      <c r="C2" s="7" t="s">
        <v>42</v>
      </c>
      <c r="D2" s="7" t="s">
        <v>43</v>
      </c>
      <c r="E2" s="7">
        <v>178735.0</v>
      </c>
    </row>
    <row r="3" ht="15.75" customHeight="1">
      <c r="A3" s="7">
        <v>1.0</v>
      </c>
      <c r="B3" s="7" t="s">
        <v>44</v>
      </c>
      <c r="C3" s="7" t="s">
        <v>45</v>
      </c>
      <c r="D3" s="7" t="s">
        <v>46</v>
      </c>
    </row>
    <row r="4" ht="15.75" customHeight="1">
      <c r="A4" s="7">
        <v>2.0</v>
      </c>
      <c r="B4" s="7" t="s">
        <v>47</v>
      </c>
      <c r="C4" s="7" t="s">
        <v>45</v>
      </c>
      <c r="D4" s="7" t="s">
        <v>48</v>
      </c>
    </row>
    <row r="5" ht="15.75" customHeight="1">
      <c r="A5" s="7">
        <v>3.0</v>
      </c>
      <c r="B5" s="7" t="s">
        <v>49</v>
      </c>
      <c r="C5" s="7" t="s">
        <v>45</v>
      </c>
      <c r="D5" s="7" t="s">
        <v>50</v>
      </c>
    </row>
    <row r="6" ht="15.75" customHeight="1">
      <c r="A6" s="7">
        <v>4.0</v>
      </c>
      <c r="B6" s="7" t="s">
        <v>51</v>
      </c>
      <c r="C6" s="7" t="s">
        <v>45</v>
      </c>
      <c r="D6" s="7" t="s">
        <v>52</v>
      </c>
    </row>
    <row r="7" ht="15.75" customHeight="1">
      <c r="A7" s="7">
        <v>5.0</v>
      </c>
      <c r="B7" s="7" t="s">
        <v>53</v>
      </c>
      <c r="C7" s="7" t="s">
        <v>45</v>
      </c>
      <c r="D7" s="7" t="s">
        <v>54</v>
      </c>
    </row>
    <row r="8" ht="15.75" customHeight="1">
      <c r="A8" s="7">
        <v>6.0</v>
      </c>
      <c r="B8" s="7" t="s">
        <v>55</v>
      </c>
      <c r="C8" s="7" t="s">
        <v>45</v>
      </c>
      <c r="D8" s="7" t="s">
        <v>56</v>
      </c>
    </row>
    <row r="9" ht="15.75" customHeight="1">
      <c r="A9" s="7">
        <v>7.0</v>
      </c>
      <c r="B9" s="8" t="s">
        <v>57</v>
      </c>
      <c r="C9" s="7" t="s">
        <v>45</v>
      </c>
      <c r="D9" s="7" t="s">
        <v>58</v>
      </c>
    </row>
    <row r="10" ht="15.75" customHeight="1">
      <c r="A10" s="7">
        <v>8.0</v>
      </c>
      <c r="B10" s="7" t="s">
        <v>59</v>
      </c>
      <c r="C10" s="7" t="s">
        <v>45</v>
      </c>
      <c r="D10" s="7" t="s">
        <v>60</v>
      </c>
    </row>
    <row r="11" ht="15.75" customHeight="1">
      <c r="A11" s="7">
        <v>9.0</v>
      </c>
      <c r="B11" s="7" t="s">
        <v>61</v>
      </c>
      <c r="C11" s="7" t="s">
        <v>45</v>
      </c>
      <c r="D11" s="7" t="s">
        <v>62</v>
      </c>
    </row>
    <row r="12" ht="15.75" customHeight="1">
      <c r="A12" s="7">
        <v>10.0</v>
      </c>
      <c r="B12" s="7" t="s">
        <v>63</v>
      </c>
      <c r="C12" s="7" t="s">
        <v>45</v>
      </c>
      <c r="D12" s="7" t="s">
        <v>64</v>
      </c>
    </row>
    <row r="13" ht="15.75" customHeight="1">
      <c r="D13" s="7" t="s">
        <v>65</v>
      </c>
    </row>
    <row r="14" ht="15.75" customHeight="1">
      <c r="D14" s="7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9.38"/>
    <col customWidth="1" min="3" max="3" width="52.38"/>
    <col customWidth="1" min="4" max="4" width="52.88"/>
    <col customWidth="1" min="5" max="5" width="14.38"/>
    <col customWidth="1" min="6" max="6" width="26.63"/>
    <col customWidth="1" min="7" max="26" width="14.38"/>
  </cols>
  <sheetData>
    <row r="1" ht="15.75" customHeight="1">
      <c r="F1" s="7" t="s">
        <v>66</v>
      </c>
      <c r="G1" s="7" t="s">
        <v>40</v>
      </c>
    </row>
    <row r="2" ht="15.75" customHeight="1">
      <c r="C2" s="7" t="s">
        <v>41</v>
      </c>
      <c r="D2" s="7" t="s">
        <v>42</v>
      </c>
      <c r="F2" s="7" t="s">
        <v>67</v>
      </c>
      <c r="G2" s="7">
        <v>22491.0</v>
      </c>
      <c r="P2" s="10" t="s">
        <v>68</v>
      </c>
      <c r="R2" s="10" t="s">
        <v>69</v>
      </c>
      <c r="S2" s="10" t="s">
        <v>70</v>
      </c>
      <c r="T2" s="10" t="s">
        <v>71</v>
      </c>
      <c r="U2" s="10" t="s">
        <v>72</v>
      </c>
    </row>
    <row r="3" ht="15.75" customHeight="1">
      <c r="B3" s="7">
        <v>1.0</v>
      </c>
      <c r="C3" s="7" t="s">
        <v>73</v>
      </c>
      <c r="D3" s="7" t="s">
        <v>74</v>
      </c>
      <c r="E3" s="7">
        <v>19.6</v>
      </c>
      <c r="F3" s="7" t="s">
        <v>75</v>
      </c>
      <c r="P3" s="10">
        <v>22491.0</v>
      </c>
      <c r="Q3" s="10">
        <v>1.0</v>
      </c>
      <c r="R3" s="10">
        <v>7785.0</v>
      </c>
      <c r="S3" s="10">
        <v>440.0</v>
      </c>
      <c r="T3" s="10">
        <v>20519.0</v>
      </c>
      <c r="U3" s="11">
        <f t="shared" ref="U3:U9" si="1">T3/P3</f>
        <v>0.9123204837</v>
      </c>
    </row>
    <row r="4" ht="15.75" customHeight="1">
      <c r="B4" s="7">
        <v>2.0</v>
      </c>
      <c r="C4" s="7" t="s">
        <v>76</v>
      </c>
      <c r="D4" s="7" t="s">
        <v>77</v>
      </c>
      <c r="E4" s="7">
        <v>19.8</v>
      </c>
      <c r="F4" s="7" t="s">
        <v>78</v>
      </c>
      <c r="P4" s="10">
        <v>22491.0</v>
      </c>
      <c r="Q4" s="10">
        <v>2.0</v>
      </c>
      <c r="R4" s="10">
        <v>7785.0</v>
      </c>
      <c r="S4" s="10">
        <v>440.0</v>
      </c>
      <c r="T4" s="10">
        <v>20534.0</v>
      </c>
      <c r="U4" s="11">
        <f t="shared" si="1"/>
        <v>0.9129874172</v>
      </c>
    </row>
    <row r="5" ht="15.75" customHeight="1">
      <c r="B5" s="7">
        <v>3.0</v>
      </c>
      <c r="C5" s="8" t="s">
        <v>79</v>
      </c>
      <c r="D5" s="7" t="s">
        <v>80</v>
      </c>
      <c r="E5" s="7">
        <v>23.9</v>
      </c>
      <c r="F5" s="7" t="s">
        <v>81</v>
      </c>
      <c r="P5" s="10">
        <v>22491.0</v>
      </c>
      <c r="Q5" s="10">
        <v>3.0</v>
      </c>
      <c r="R5" s="10">
        <v>7785.0</v>
      </c>
      <c r="S5" s="10">
        <v>440.0</v>
      </c>
      <c r="T5" s="10">
        <v>20534.0</v>
      </c>
      <c r="U5" s="11">
        <f t="shared" si="1"/>
        <v>0.9129874172</v>
      </c>
    </row>
    <row r="6" ht="15.75" customHeight="1">
      <c r="B6" s="7">
        <v>4.0</v>
      </c>
      <c r="C6" s="7" t="s">
        <v>82</v>
      </c>
      <c r="D6" s="7" t="s">
        <v>45</v>
      </c>
      <c r="F6" s="7" t="s">
        <v>83</v>
      </c>
      <c r="P6" s="10">
        <v>22491.0</v>
      </c>
      <c r="Q6" s="10">
        <v>7.0</v>
      </c>
      <c r="R6" s="10">
        <v>7333.0</v>
      </c>
      <c r="S6" s="10">
        <v>440.0</v>
      </c>
      <c r="T6" s="10">
        <v>20053.0</v>
      </c>
      <c r="U6" s="11">
        <f t="shared" si="1"/>
        <v>0.8916010849</v>
      </c>
    </row>
    <row r="7" ht="15.75" customHeight="1">
      <c r="B7" s="7">
        <v>5.0</v>
      </c>
      <c r="C7" s="7" t="s">
        <v>84</v>
      </c>
      <c r="D7" s="7" t="s">
        <v>85</v>
      </c>
      <c r="F7" s="7" t="s">
        <v>86</v>
      </c>
      <c r="P7" s="10">
        <v>22491.0</v>
      </c>
      <c r="Q7" s="10">
        <v>8.0</v>
      </c>
      <c r="R7" s="10">
        <v>7333.0</v>
      </c>
      <c r="S7" s="10">
        <v>440.0</v>
      </c>
      <c r="T7" s="10">
        <v>20053.0</v>
      </c>
      <c r="U7" s="11">
        <f t="shared" si="1"/>
        <v>0.8916010849</v>
      </c>
    </row>
    <row r="8" ht="15.75" customHeight="1">
      <c r="B8" s="7">
        <v>6.0</v>
      </c>
      <c r="C8" s="7" t="s">
        <v>87</v>
      </c>
      <c r="D8" s="7" t="s">
        <v>85</v>
      </c>
      <c r="F8" s="7" t="s">
        <v>88</v>
      </c>
      <c r="P8" s="10">
        <v>22491.0</v>
      </c>
      <c r="Q8" s="10">
        <v>9.0</v>
      </c>
      <c r="R8" s="10">
        <v>7333.0</v>
      </c>
      <c r="S8" s="10">
        <v>440.0</v>
      </c>
      <c r="T8" s="10">
        <v>20053.0</v>
      </c>
      <c r="U8" s="11">
        <f t="shared" si="1"/>
        <v>0.8916010849</v>
      </c>
    </row>
    <row r="9" ht="15.75" customHeight="1">
      <c r="B9" s="7">
        <v>7.0</v>
      </c>
      <c r="C9" s="7" t="s">
        <v>89</v>
      </c>
      <c r="D9" s="7" t="s">
        <v>90</v>
      </c>
      <c r="E9" s="7">
        <v>21.9</v>
      </c>
      <c r="F9" s="7" t="s">
        <v>91</v>
      </c>
      <c r="P9" s="10">
        <v>22491.0</v>
      </c>
      <c r="Q9" s="10">
        <v>10.0</v>
      </c>
      <c r="R9" s="10">
        <v>7333.0</v>
      </c>
      <c r="S9" s="10">
        <v>440.0</v>
      </c>
      <c r="T9" s="10">
        <v>20053.0</v>
      </c>
      <c r="U9" s="11">
        <f t="shared" si="1"/>
        <v>0.8916010849</v>
      </c>
    </row>
    <row r="10" ht="15.75" customHeight="1">
      <c r="B10" s="7">
        <v>8.0</v>
      </c>
      <c r="C10" s="8" t="s">
        <v>92</v>
      </c>
      <c r="D10" s="7" t="s">
        <v>93</v>
      </c>
      <c r="E10" s="7">
        <v>22.6</v>
      </c>
      <c r="F10" s="7" t="s">
        <v>94</v>
      </c>
    </row>
    <row r="11" ht="15.75" customHeight="1">
      <c r="B11" s="7">
        <v>9.0</v>
      </c>
      <c r="C11" s="8" t="s">
        <v>95</v>
      </c>
      <c r="D11" s="7" t="s">
        <v>96</v>
      </c>
      <c r="E11" s="7">
        <v>23.8</v>
      </c>
      <c r="F11" s="7" t="s">
        <v>97</v>
      </c>
    </row>
    <row r="12" ht="15.75" customHeight="1">
      <c r="B12" s="7">
        <v>10.0</v>
      </c>
      <c r="C12" s="8" t="s">
        <v>98</v>
      </c>
      <c r="D12" s="7" t="s">
        <v>99</v>
      </c>
      <c r="E12" s="7">
        <v>23.8</v>
      </c>
      <c r="F12" s="7" t="s">
        <v>100</v>
      </c>
    </row>
    <row r="13" ht="15.75" customHeight="1">
      <c r="C13" s="7"/>
      <c r="E13" s="7">
        <f>AVERAGE(E3:E12)</f>
        <v>22.2</v>
      </c>
      <c r="F13" s="7" t="s">
        <v>101</v>
      </c>
      <c r="K13" s="10" t="s">
        <v>102</v>
      </c>
      <c r="L13" s="10">
        <v>2765.0</v>
      </c>
    </row>
    <row r="14" ht="15.75" customHeight="1">
      <c r="C14" s="7"/>
      <c r="F14" s="7" t="s">
        <v>103</v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>
      <c r="A20" s="10" t="s">
        <v>104</v>
      </c>
      <c r="B20" s="10" t="s">
        <v>105</v>
      </c>
      <c r="C20" s="10" t="s">
        <v>106</v>
      </c>
      <c r="D20" s="10" t="s">
        <v>107</v>
      </c>
      <c r="E20" s="10" t="s">
        <v>108</v>
      </c>
      <c r="F20" s="10" t="s">
        <v>109</v>
      </c>
      <c r="G20" s="10" t="s">
        <v>110</v>
      </c>
    </row>
    <row r="21" ht="15.75" customHeight="1">
      <c r="A21" s="10">
        <v>1.0</v>
      </c>
      <c r="B21" s="12">
        <f>7785-L13</f>
        <v>5020</v>
      </c>
      <c r="C21" s="12">
        <v>440.0</v>
      </c>
      <c r="D21" s="12">
        <f t="shared" ref="D21:D27" si="2">B21+C21</f>
        <v>5460</v>
      </c>
      <c r="E21" s="12">
        <f t="shared" ref="E21:E27" si="3">8622+550+1039</f>
        <v>10211</v>
      </c>
      <c r="F21" s="11">
        <f t="shared" ref="F21:F27" si="4">D21/E21</f>
        <v>0.5347174616</v>
      </c>
      <c r="G21" s="13">
        <v>19.63</v>
      </c>
    </row>
    <row r="22" ht="15.75" customHeight="1">
      <c r="A22" s="10">
        <v>2.0</v>
      </c>
      <c r="B22" s="14">
        <v>5020.0</v>
      </c>
      <c r="C22" s="12">
        <v>440.0</v>
      </c>
      <c r="D22" s="12">
        <f t="shared" si="2"/>
        <v>5460</v>
      </c>
      <c r="E22" s="12">
        <f t="shared" si="3"/>
        <v>10211</v>
      </c>
      <c r="F22" s="11">
        <f t="shared" si="4"/>
        <v>0.5347174616</v>
      </c>
      <c r="G22" s="13">
        <v>19.84</v>
      </c>
    </row>
    <row r="23" ht="15.75" customHeight="1">
      <c r="A23" s="10">
        <v>3.0</v>
      </c>
      <c r="B23" s="12">
        <f>7785-L13</f>
        <v>5020</v>
      </c>
      <c r="C23" s="12">
        <v>440.0</v>
      </c>
      <c r="D23" s="12">
        <f t="shared" si="2"/>
        <v>5460</v>
      </c>
      <c r="E23" s="12">
        <f t="shared" si="3"/>
        <v>10211</v>
      </c>
      <c r="F23" s="11">
        <f t="shared" si="4"/>
        <v>0.5347174616</v>
      </c>
      <c r="G23" s="13">
        <v>23.99</v>
      </c>
    </row>
    <row r="24" ht="15.75" customHeight="1">
      <c r="A24" s="10">
        <v>7.0</v>
      </c>
      <c r="B24" s="12">
        <f>7333-L13</f>
        <v>4568</v>
      </c>
      <c r="C24" s="12">
        <v>440.0</v>
      </c>
      <c r="D24" s="12">
        <f t="shared" si="2"/>
        <v>5008</v>
      </c>
      <c r="E24" s="12">
        <f t="shared" si="3"/>
        <v>10211</v>
      </c>
      <c r="F24" s="11">
        <f t="shared" si="4"/>
        <v>0.4904514739</v>
      </c>
      <c r="G24" s="13">
        <v>21.99</v>
      </c>
    </row>
    <row r="25" ht="15.75" customHeight="1">
      <c r="A25" s="10">
        <v>8.0</v>
      </c>
      <c r="B25" s="12">
        <f>7333-L13</f>
        <v>4568</v>
      </c>
      <c r="C25" s="12">
        <v>440.0</v>
      </c>
      <c r="D25" s="12">
        <f t="shared" si="2"/>
        <v>5008</v>
      </c>
      <c r="E25" s="12">
        <f t="shared" si="3"/>
        <v>10211</v>
      </c>
      <c r="F25" s="11">
        <f t="shared" si="4"/>
        <v>0.4904514739</v>
      </c>
      <c r="G25" s="13">
        <v>22.6</v>
      </c>
    </row>
    <row r="26" ht="15.75" customHeight="1">
      <c r="A26" s="10">
        <v>9.0</v>
      </c>
      <c r="B26" s="12">
        <f>7333-L13</f>
        <v>4568</v>
      </c>
      <c r="C26" s="12">
        <v>440.0</v>
      </c>
      <c r="D26" s="12">
        <f t="shared" si="2"/>
        <v>5008</v>
      </c>
      <c r="E26" s="12">
        <f t="shared" si="3"/>
        <v>10211</v>
      </c>
      <c r="F26" s="11">
        <f t="shared" si="4"/>
        <v>0.4904514739</v>
      </c>
      <c r="G26" s="13">
        <v>23.28</v>
      </c>
    </row>
    <row r="27" ht="15.75" customHeight="1">
      <c r="A27" s="10">
        <v>10.0</v>
      </c>
      <c r="B27" s="12">
        <f>7333-L13</f>
        <v>4568</v>
      </c>
      <c r="C27" s="12">
        <v>440.0</v>
      </c>
      <c r="D27" s="12">
        <f t="shared" si="2"/>
        <v>5008</v>
      </c>
      <c r="E27" s="12">
        <f t="shared" si="3"/>
        <v>10211</v>
      </c>
      <c r="F27" s="11">
        <f t="shared" si="4"/>
        <v>0.4904514739</v>
      </c>
      <c r="G27" s="13">
        <v>23.75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44.63"/>
    <col customWidth="1" min="4" max="4" width="40.0"/>
    <col customWidth="1" min="5" max="5" width="37.38"/>
    <col customWidth="1" min="6" max="6" width="41.75"/>
    <col customWidth="1" min="7" max="7" width="14.38"/>
    <col customWidth="1" min="8" max="8" width="24.13"/>
    <col customWidth="1" min="9" max="26" width="14.38"/>
  </cols>
  <sheetData>
    <row r="1" ht="15.75" customHeight="1">
      <c r="H1" s="7" t="s">
        <v>111</v>
      </c>
      <c r="I1" s="7" t="s">
        <v>112</v>
      </c>
    </row>
    <row r="2" ht="15.75" customHeight="1">
      <c r="C2" s="7" t="s">
        <v>41</v>
      </c>
      <c r="D2" s="15" t="s">
        <v>42</v>
      </c>
      <c r="E2" s="15" t="s">
        <v>42</v>
      </c>
      <c r="F2" s="7" t="s">
        <v>113</v>
      </c>
      <c r="H2" s="7" t="s">
        <v>114</v>
      </c>
      <c r="I2" s="7">
        <v>1580.0</v>
      </c>
    </row>
    <row r="3" ht="15.75" customHeight="1">
      <c r="B3" s="7">
        <v>1.0</v>
      </c>
      <c r="C3" s="7" t="s">
        <v>115</v>
      </c>
      <c r="D3" s="15" t="s">
        <v>116</v>
      </c>
      <c r="E3" s="15" t="s">
        <v>117</v>
      </c>
      <c r="F3" s="7" t="s">
        <v>118</v>
      </c>
      <c r="G3" s="7">
        <v>2.997</v>
      </c>
      <c r="H3" s="7" t="s">
        <v>119</v>
      </c>
      <c r="S3" s="10" t="s">
        <v>68</v>
      </c>
      <c r="V3" s="10" t="s">
        <v>69</v>
      </c>
      <c r="W3" s="10" t="s">
        <v>70</v>
      </c>
      <c r="X3" s="10" t="s">
        <v>71</v>
      </c>
      <c r="Y3" s="10" t="s">
        <v>72</v>
      </c>
    </row>
    <row r="4" ht="15.75" customHeight="1">
      <c r="B4" s="7">
        <v>2.0</v>
      </c>
      <c r="C4" s="8" t="s">
        <v>120</v>
      </c>
      <c r="D4" s="15" t="s">
        <v>121</v>
      </c>
      <c r="E4" s="15" t="s">
        <v>122</v>
      </c>
      <c r="F4" s="7" t="s">
        <v>123</v>
      </c>
      <c r="G4" s="7">
        <v>3.18</v>
      </c>
      <c r="H4" s="7" t="s">
        <v>124</v>
      </c>
      <c r="S4" s="10">
        <v>1580.0</v>
      </c>
      <c r="U4" s="10">
        <v>1.0</v>
      </c>
      <c r="V4" s="10">
        <v>233.0</v>
      </c>
      <c r="W4" s="10">
        <v>0.0</v>
      </c>
      <c r="X4" s="10">
        <v>586.0</v>
      </c>
      <c r="Y4" s="11">
        <f t="shared" ref="Y4:Y13" si="1">X4/S4</f>
        <v>0.3708860759</v>
      </c>
    </row>
    <row r="5" ht="15.75" customHeight="1">
      <c r="B5" s="7">
        <v>3.0</v>
      </c>
      <c r="C5" s="8" t="s">
        <v>125</v>
      </c>
      <c r="D5" s="15" t="s">
        <v>126</v>
      </c>
      <c r="E5" s="15" t="s">
        <v>127</v>
      </c>
      <c r="F5" s="7" t="s">
        <v>128</v>
      </c>
      <c r="G5" s="7">
        <v>3.15</v>
      </c>
      <c r="H5" s="7" t="s">
        <v>129</v>
      </c>
      <c r="S5" s="10">
        <v>1580.0</v>
      </c>
      <c r="U5" s="10">
        <v>2.0</v>
      </c>
      <c r="V5" s="10">
        <v>289.0</v>
      </c>
      <c r="W5" s="10">
        <v>0.0</v>
      </c>
      <c r="X5" s="10">
        <v>642.0</v>
      </c>
      <c r="Y5" s="11">
        <f t="shared" si="1"/>
        <v>0.4063291139</v>
      </c>
    </row>
    <row r="6" ht="15.75" customHeight="1">
      <c r="B6" s="7">
        <v>4.0</v>
      </c>
      <c r="C6" s="8" t="s">
        <v>130</v>
      </c>
      <c r="D6" s="15" t="s">
        <v>131</v>
      </c>
      <c r="E6" s="15" t="s">
        <v>132</v>
      </c>
      <c r="F6" s="7" t="s">
        <v>133</v>
      </c>
      <c r="G6" s="7">
        <v>3.1</v>
      </c>
      <c r="H6" s="7" t="s">
        <v>134</v>
      </c>
      <c r="S6" s="10">
        <v>1580.0</v>
      </c>
      <c r="U6" s="10">
        <v>3.0</v>
      </c>
      <c r="V6" s="10">
        <v>289.0</v>
      </c>
      <c r="W6" s="10">
        <v>0.0</v>
      </c>
      <c r="X6" s="10">
        <v>642.0</v>
      </c>
      <c r="Y6" s="11">
        <f t="shared" si="1"/>
        <v>0.4063291139</v>
      </c>
    </row>
    <row r="7" ht="15.75" customHeight="1">
      <c r="B7" s="7">
        <v>5.0</v>
      </c>
      <c r="C7" s="7" t="s">
        <v>135</v>
      </c>
      <c r="D7" s="15" t="s">
        <v>136</v>
      </c>
      <c r="E7" s="15" t="s">
        <v>137</v>
      </c>
      <c r="F7" s="7" t="s">
        <v>138</v>
      </c>
      <c r="G7" s="7">
        <v>3.4</v>
      </c>
      <c r="H7" s="7" t="s">
        <v>56</v>
      </c>
      <c r="S7" s="10">
        <v>1580.0</v>
      </c>
      <c r="U7" s="10">
        <v>4.0</v>
      </c>
      <c r="V7" s="10">
        <v>230.0</v>
      </c>
      <c r="W7" s="10">
        <v>0.0</v>
      </c>
      <c r="X7" s="10">
        <v>583.0</v>
      </c>
      <c r="Y7" s="11">
        <f t="shared" si="1"/>
        <v>0.3689873418</v>
      </c>
    </row>
    <row r="8" ht="15.75" customHeight="1">
      <c r="B8" s="7">
        <v>6.0</v>
      </c>
      <c r="C8" s="7" t="s">
        <v>139</v>
      </c>
      <c r="D8" s="15" t="s">
        <v>140</v>
      </c>
      <c r="F8" s="7" t="s">
        <v>141</v>
      </c>
      <c r="G8" s="7">
        <v>1.94</v>
      </c>
      <c r="H8" s="7" t="s">
        <v>142</v>
      </c>
      <c r="S8" s="10">
        <v>1580.0</v>
      </c>
      <c r="U8" s="10">
        <v>5.0</v>
      </c>
      <c r="V8" s="10">
        <v>230.0</v>
      </c>
      <c r="W8" s="10">
        <v>0.0</v>
      </c>
      <c r="X8" s="10">
        <v>583.0</v>
      </c>
      <c r="Y8" s="11">
        <f t="shared" si="1"/>
        <v>0.3689873418</v>
      </c>
    </row>
    <row r="9" ht="15.75" customHeight="1">
      <c r="B9" s="7">
        <v>7.0</v>
      </c>
      <c r="C9" s="7" t="s">
        <v>143</v>
      </c>
      <c r="D9" s="15" t="s">
        <v>144</v>
      </c>
      <c r="F9" s="7" t="s">
        <v>145</v>
      </c>
      <c r="G9" s="7">
        <v>1.95</v>
      </c>
      <c r="S9" s="10">
        <v>1580.0</v>
      </c>
      <c r="U9" s="10">
        <v>6.0</v>
      </c>
      <c r="V9" s="10">
        <v>219.0</v>
      </c>
      <c r="W9" s="10">
        <v>0.0</v>
      </c>
      <c r="X9" s="10">
        <v>572.0</v>
      </c>
      <c r="Y9" s="11">
        <f t="shared" si="1"/>
        <v>0.3620253165</v>
      </c>
    </row>
    <row r="10" ht="15.75" customHeight="1">
      <c r="B10" s="7">
        <v>8.0</v>
      </c>
      <c r="C10" s="7" t="s">
        <v>146</v>
      </c>
      <c r="D10" s="15" t="s">
        <v>147</v>
      </c>
      <c r="F10" s="7" t="s">
        <v>148</v>
      </c>
      <c r="G10" s="7">
        <v>1.93</v>
      </c>
      <c r="S10" s="10">
        <v>1580.0</v>
      </c>
      <c r="U10" s="10">
        <v>7.0</v>
      </c>
      <c r="V10" s="10">
        <v>219.0</v>
      </c>
      <c r="W10" s="10">
        <v>0.0</v>
      </c>
      <c r="X10" s="10">
        <v>572.0</v>
      </c>
      <c r="Y10" s="11">
        <f t="shared" si="1"/>
        <v>0.3620253165</v>
      </c>
    </row>
    <row r="11" ht="15.75" customHeight="1">
      <c r="B11" s="7">
        <v>9.0</v>
      </c>
      <c r="C11" s="8" t="s">
        <v>149</v>
      </c>
      <c r="F11" s="7" t="s">
        <v>150</v>
      </c>
      <c r="G11" s="7">
        <v>2.48</v>
      </c>
      <c r="S11" s="10">
        <v>1580.0</v>
      </c>
      <c r="U11" s="10">
        <v>8.0</v>
      </c>
      <c r="V11" s="10">
        <v>219.0</v>
      </c>
      <c r="W11" s="10">
        <v>0.0</v>
      </c>
      <c r="X11" s="10">
        <v>572.0</v>
      </c>
      <c r="Y11" s="11">
        <f t="shared" si="1"/>
        <v>0.3620253165</v>
      </c>
    </row>
    <row r="12" ht="15.75" customHeight="1">
      <c r="B12" s="7">
        <v>10.0</v>
      </c>
      <c r="C12" s="8" t="s">
        <v>151</v>
      </c>
      <c r="F12" s="7" t="s">
        <v>152</v>
      </c>
      <c r="G12" s="7">
        <v>2.6</v>
      </c>
      <c r="S12" s="10">
        <v>1580.0</v>
      </c>
      <c r="U12" s="10">
        <v>9.0</v>
      </c>
      <c r="V12" s="10">
        <v>227.0</v>
      </c>
      <c r="W12" s="10">
        <v>9.0</v>
      </c>
      <c r="X12" s="10">
        <v>712.0</v>
      </c>
      <c r="Y12" s="11">
        <f t="shared" si="1"/>
        <v>0.4506329114</v>
      </c>
    </row>
    <row r="13" ht="15.75" customHeight="1">
      <c r="C13" s="8"/>
      <c r="G13" s="7">
        <f>AVERAGE(G3:G12)</f>
        <v>2.6727</v>
      </c>
      <c r="S13" s="10">
        <v>1580.0</v>
      </c>
      <c r="U13" s="10">
        <v>10.0</v>
      </c>
      <c r="V13" s="10">
        <v>227.0</v>
      </c>
      <c r="W13" s="10">
        <v>9.0</v>
      </c>
      <c r="X13" s="10">
        <v>712.0</v>
      </c>
      <c r="Y13" s="11">
        <f t="shared" si="1"/>
        <v>0.4506329114</v>
      </c>
    </row>
    <row r="14" ht="15.75" customHeight="1"/>
    <row r="15" ht="15.75" customHeight="1">
      <c r="M15" s="10" t="s">
        <v>153</v>
      </c>
      <c r="N15" s="10">
        <v>101.0</v>
      </c>
    </row>
    <row r="16" ht="15.75" customHeight="1"/>
    <row r="17" ht="15.75" customHeight="1"/>
    <row r="18" ht="15.75" customHeight="1"/>
    <row r="19" ht="15.75" customHeight="1"/>
    <row r="20" ht="15.75" customHeight="1">
      <c r="A20" s="10" t="s">
        <v>104</v>
      </c>
      <c r="B20" s="10" t="s">
        <v>69</v>
      </c>
      <c r="C20" s="10" t="s">
        <v>70</v>
      </c>
      <c r="D20" s="10" t="s">
        <v>154</v>
      </c>
      <c r="E20" s="10" t="s">
        <v>155</v>
      </c>
      <c r="F20" s="10" t="s">
        <v>156</v>
      </c>
      <c r="G20" s="10" t="s">
        <v>110</v>
      </c>
    </row>
    <row r="21" ht="15.75" customHeight="1">
      <c r="A21" s="10">
        <v>1.0</v>
      </c>
      <c r="B21" s="16">
        <f>233-101</f>
        <v>132</v>
      </c>
      <c r="C21" s="16">
        <v>0.0</v>
      </c>
      <c r="D21" s="16">
        <f t="shared" ref="D21:D30" si="2">B21+C21</f>
        <v>132</v>
      </c>
      <c r="E21" s="16">
        <f t="shared" ref="E21:E30" si="3">987+240</f>
        <v>1227</v>
      </c>
      <c r="F21" s="11">
        <f t="shared" ref="F21:F30" si="4">D21/E21</f>
        <v>0.1075794621</v>
      </c>
      <c r="G21" s="17">
        <v>3.0</v>
      </c>
    </row>
    <row r="22" ht="15.75" customHeight="1">
      <c r="A22" s="10">
        <v>2.0</v>
      </c>
      <c r="B22" s="16">
        <f t="shared" ref="B22:B23" si="5">289-101</f>
        <v>188</v>
      </c>
      <c r="C22" s="16">
        <v>0.0</v>
      </c>
      <c r="D22" s="16">
        <f t="shared" si="2"/>
        <v>188</v>
      </c>
      <c r="E22" s="16">
        <f t="shared" si="3"/>
        <v>1227</v>
      </c>
      <c r="F22" s="11">
        <f t="shared" si="4"/>
        <v>0.1532192339</v>
      </c>
      <c r="G22" s="17">
        <v>3.18</v>
      </c>
    </row>
    <row r="23" ht="15.75" customHeight="1">
      <c r="A23" s="10">
        <v>3.0</v>
      </c>
      <c r="B23" s="16">
        <f t="shared" si="5"/>
        <v>188</v>
      </c>
      <c r="C23" s="16">
        <v>0.0</v>
      </c>
      <c r="D23" s="16">
        <f t="shared" si="2"/>
        <v>188</v>
      </c>
      <c r="E23" s="16">
        <f t="shared" si="3"/>
        <v>1227</v>
      </c>
      <c r="F23" s="11">
        <f t="shared" si="4"/>
        <v>0.1532192339</v>
      </c>
      <c r="G23" s="17">
        <v>3.15</v>
      </c>
    </row>
    <row r="24" ht="15.75" customHeight="1">
      <c r="A24" s="10">
        <v>4.0</v>
      </c>
      <c r="B24" s="16">
        <f t="shared" ref="B24:B25" si="6">230-101</f>
        <v>129</v>
      </c>
      <c r="C24" s="16">
        <v>0.0</v>
      </c>
      <c r="D24" s="16">
        <f t="shared" si="2"/>
        <v>129</v>
      </c>
      <c r="E24" s="16">
        <f t="shared" si="3"/>
        <v>1227</v>
      </c>
      <c r="F24" s="11">
        <f t="shared" si="4"/>
        <v>0.1051344743</v>
      </c>
      <c r="G24" s="17">
        <v>3.1</v>
      </c>
    </row>
    <row r="25" ht="15.75" customHeight="1">
      <c r="A25" s="10">
        <v>5.0</v>
      </c>
      <c r="B25" s="16">
        <f t="shared" si="6"/>
        <v>129</v>
      </c>
      <c r="C25" s="16">
        <v>0.0</v>
      </c>
      <c r="D25" s="16">
        <f t="shared" si="2"/>
        <v>129</v>
      </c>
      <c r="E25" s="16">
        <f t="shared" si="3"/>
        <v>1227</v>
      </c>
      <c r="F25" s="11">
        <f t="shared" si="4"/>
        <v>0.1051344743</v>
      </c>
      <c r="G25" s="17">
        <v>3.4</v>
      </c>
    </row>
    <row r="26" ht="15.75" customHeight="1">
      <c r="A26" s="10">
        <v>6.0</v>
      </c>
      <c r="B26" s="16">
        <f t="shared" ref="B26:B28" si="7">219-101</f>
        <v>118</v>
      </c>
      <c r="C26" s="16">
        <v>0.0</v>
      </c>
      <c r="D26" s="16">
        <f t="shared" si="2"/>
        <v>118</v>
      </c>
      <c r="E26" s="16">
        <f t="shared" si="3"/>
        <v>1227</v>
      </c>
      <c r="F26" s="11">
        <f t="shared" si="4"/>
        <v>0.09616951915</v>
      </c>
      <c r="G26" s="17">
        <v>1.94</v>
      </c>
    </row>
    <row r="27" ht="15.75" customHeight="1">
      <c r="A27" s="10">
        <v>7.0</v>
      </c>
      <c r="B27" s="16">
        <f t="shared" si="7"/>
        <v>118</v>
      </c>
      <c r="C27" s="16">
        <v>0.0</v>
      </c>
      <c r="D27" s="16">
        <f t="shared" si="2"/>
        <v>118</v>
      </c>
      <c r="E27" s="16">
        <f t="shared" si="3"/>
        <v>1227</v>
      </c>
      <c r="F27" s="11">
        <f t="shared" si="4"/>
        <v>0.09616951915</v>
      </c>
      <c r="G27" s="17">
        <v>1.95</v>
      </c>
    </row>
    <row r="28" ht="15.75" customHeight="1">
      <c r="A28" s="10">
        <v>8.0</v>
      </c>
      <c r="B28" s="16">
        <f t="shared" si="7"/>
        <v>118</v>
      </c>
      <c r="C28" s="16">
        <v>0.0</v>
      </c>
      <c r="D28" s="16">
        <f t="shared" si="2"/>
        <v>118</v>
      </c>
      <c r="E28" s="16">
        <f t="shared" si="3"/>
        <v>1227</v>
      </c>
      <c r="F28" s="11">
        <f t="shared" si="4"/>
        <v>0.09616951915</v>
      </c>
      <c r="G28" s="17">
        <v>1.93</v>
      </c>
    </row>
    <row r="29" ht="15.75" customHeight="1">
      <c r="A29" s="10">
        <v>9.0</v>
      </c>
      <c r="B29" s="16">
        <f t="shared" ref="B29:B30" si="8">227-101</f>
        <v>126</v>
      </c>
      <c r="C29" s="16">
        <v>9.0</v>
      </c>
      <c r="D29" s="16">
        <f t="shared" si="2"/>
        <v>135</v>
      </c>
      <c r="E29" s="16">
        <f t="shared" si="3"/>
        <v>1227</v>
      </c>
      <c r="F29" s="11">
        <f t="shared" si="4"/>
        <v>0.1100244499</v>
      </c>
      <c r="G29" s="17">
        <v>2.48</v>
      </c>
    </row>
    <row r="30" ht="15.75" customHeight="1">
      <c r="A30" s="10">
        <v>10.0</v>
      </c>
      <c r="B30" s="16">
        <f t="shared" si="8"/>
        <v>126</v>
      </c>
      <c r="C30" s="16">
        <v>9.0</v>
      </c>
      <c r="D30" s="16">
        <f t="shared" si="2"/>
        <v>135</v>
      </c>
      <c r="E30" s="16">
        <f t="shared" si="3"/>
        <v>1227</v>
      </c>
      <c r="F30" s="11">
        <f t="shared" si="4"/>
        <v>0.1100244499</v>
      </c>
      <c r="G30" s="17">
        <v>2.6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58.25"/>
    <col customWidth="1" min="4" max="4" width="52.25"/>
    <col customWidth="1" min="5" max="5" width="14.38"/>
    <col customWidth="1" min="6" max="6" width="22.75"/>
    <col customWidth="1" min="7" max="12" width="14.38"/>
    <col customWidth="1" min="13" max="13" width="19.88"/>
    <col customWidth="1" min="14" max="14" width="23.25"/>
    <col customWidth="1" min="15" max="26" width="14.38"/>
  </cols>
  <sheetData>
    <row r="1" ht="15.75" customHeight="1">
      <c r="F1" s="7" t="s">
        <v>157</v>
      </c>
      <c r="G1" s="7" t="s">
        <v>40</v>
      </c>
    </row>
    <row r="2" ht="15.75" customHeight="1">
      <c r="C2" s="7" t="s">
        <v>41</v>
      </c>
      <c r="D2" s="7" t="s">
        <v>42</v>
      </c>
      <c r="F2" s="7" t="s">
        <v>158</v>
      </c>
      <c r="G2" s="7">
        <v>5072.0</v>
      </c>
      <c r="H2" s="8">
        <v>8.3277</v>
      </c>
    </row>
    <row r="3" ht="15.75" customHeight="1">
      <c r="B3" s="7">
        <v>1.0</v>
      </c>
      <c r="C3" s="7" t="s">
        <v>159</v>
      </c>
      <c r="D3" s="7" t="s">
        <v>160</v>
      </c>
      <c r="F3" s="7" t="s">
        <v>161</v>
      </c>
      <c r="H3" s="8">
        <v>8.2942</v>
      </c>
      <c r="Q3" s="10" t="s">
        <v>68</v>
      </c>
      <c r="S3" s="10" t="s">
        <v>69</v>
      </c>
      <c r="T3" s="10" t="s">
        <v>162</v>
      </c>
      <c r="U3" s="10" t="s">
        <v>71</v>
      </c>
      <c r="V3" s="10" t="s">
        <v>163</v>
      </c>
      <c r="X3" s="10" t="s">
        <v>71</v>
      </c>
    </row>
    <row r="4" ht="15.75" customHeight="1">
      <c r="B4" s="7">
        <v>2.0</v>
      </c>
      <c r="C4" s="7" t="s">
        <v>164</v>
      </c>
      <c r="D4" s="7" t="s">
        <v>165</v>
      </c>
      <c r="F4" s="7" t="s">
        <v>124</v>
      </c>
      <c r="H4" s="8">
        <v>8.3167</v>
      </c>
      <c r="Q4" s="10">
        <v>5072.0</v>
      </c>
      <c r="R4" s="10">
        <v>1.0</v>
      </c>
      <c r="S4" s="10">
        <v>2719.0</v>
      </c>
      <c r="T4" s="10">
        <v>684.0</v>
      </c>
      <c r="U4" s="10">
        <f>X4-H20</f>
        <v>4914</v>
      </c>
      <c r="V4" s="11">
        <f t="shared" ref="V4:V13" si="1">U4/Q4</f>
        <v>0.9688485804</v>
      </c>
      <c r="X4" s="10">
        <v>42813.0</v>
      </c>
    </row>
    <row r="5" ht="15.75" customHeight="1">
      <c r="B5" s="7">
        <v>3.0</v>
      </c>
      <c r="C5" s="8" t="s">
        <v>166</v>
      </c>
      <c r="D5" s="7" t="s">
        <v>167</v>
      </c>
      <c r="F5" s="7" t="s">
        <v>168</v>
      </c>
      <c r="H5" s="8">
        <v>8.3576</v>
      </c>
      <c r="Q5" s="10">
        <v>5072.0</v>
      </c>
      <c r="R5" s="10">
        <v>2.0</v>
      </c>
      <c r="S5" s="10">
        <v>2718.0</v>
      </c>
      <c r="T5" s="10">
        <v>684.0</v>
      </c>
      <c r="U5" s="10">
        <f>X5-H20</f>
        <v>4913</v>
      </c>
      <c r="V5" s="11">
        <f t="shared" si="1"/>
        <v>0.9686514196</v>
      </c>
      <c r="X5" s="10">
        <v>42812.0</v>
      </c>
    </row>
    <row r="6" ht="15.75" customHeight="1">
      <c r="B6" s="7">
        <v>4.0</v>
      </c>
      <c r="C6" s="8" t="s">
        <v>169</v>
      </c>
      <c r="D6" s="7" t="s">
        <v>170</v>
      </c>
      <c r="F6" s="7" t="s">
        <v>171</v>
      </c>
      <c r="H6" s="8">
        <v>5.7922</v>
      </c>
      <c r="Q6" s="10">
        <v>5072.0</v>
      </c>
      <c r="R6" s="10">
        <v>3.0</v>
      </c>
      <c r="S6" s="10">
        <v>2719.0</v>
      </c>
      <c r="T6" s="10">
        <v>684.0</v>
      </c>
      <c r="U6" s="10">
        <f>X6-H20</f>
        <v>4914</v>
      </c>
      <c r="V6" s="11">
        <f t="shared" si="1"/>
        <v>0.9688485804</v>
      </c>
      <c r="X6" s="10">
        <v>42813.0</v>
      </c>
    </row>
    <row r="7" ht="15.75" customHeight="1">
      <c r="B7" s="7">
        <v>5.0</v>
      </c>
      <c r="C7" s="7" t="s">
        <v>172</v>
      </c>
      <c r="D7" s="7" t="s">
        <v>173</v>
      </c>
      <c r="F7" s="7" t="s">
        <v>62</v>
      </c>
      <c r="H7" s="8">
        <v>8.4225</v>
      </c>
      <c r="Q7" s="10">
        <v>5072.0</v>
      </c>
      <c r="R7" s="10">
        <v>4.0</v>
      </c>
      <c r="S7" s="10">
        <v>2719.0</v>
      </c>
      <c r="T7" s="10">
        <v>684.0</v>
      </c>
      <c r="U7" s="10">
        <f>X7-H20</f>
        <v>4914</v>
      </c>
      <c r="V7" s="11">
        <f t="shared" si="1"/>
        <v>0.9688485804</v>
      </c>
      <c r="X7" s="10">
        <v>42813.0</v>
      </c>
    </row>
    <row r="8" ht="15.75" customHeight="1">
      <c r="B8" s="7">
        <v>6.0</v>
      </c>
      <c r="C8" s="8" t="s">
        <v>174</v>
      </c>
      <c r="D8" s="7" t="s">
        <v>175</v>
      </c>
      <c r="F8" s="7" t="s">
        <v>129</v>
      </c>
      <c r="H8" s="8">
        <v>8.4213</v>
      </c>
      <c r="Q8" s="10">
        <v>5072.0</v>
      </c>
      <c r="R8" s="10">
        <v>5.0</v>
      </c>
      <c r="S8" s="10">
        <v>2369.0</v>
      </c>
      <c r="T8" s="10">
        <v>684.0</v>
      </c>
      <c r="U8" s="10">
        <f>X8-H20</f>
        <v>4564</v>
      </c>
      <c r="V8" s="11">
        <f t="shared" si="1"/>
        <v>0.8998422713</v>
      </c>
      <c r="X8" s="10">
        <v>42463.0</v>
      </c>
    </row>
    <row r="9" ht="15.75" customHeight="1">
      <c r="B9" s="7">
        <v>7.0</v>
      </c>
      <c r="C9" s="8" t="s">
        <v>176</v>
      </c>
      <c r="D9" s="7" t="s">
        <v>177</v>
      </c>
      <c r="F9" s="7" t="s">
        <v>178</v>
      </c>
      <c r="H9" s="8">
        <v>8.4187</v>
      </c>
      <c r="Q9" s="10">
        <v>5072.0</v>
      </c>
      <c r="R9" s="10">
        <v>6.0</v>
      </c>
      <c r="S9" s="10">
        <v>2738.0</v>
      </c>
      <c r="T9" s="10">
        <v>684.0</v>
      </c>
      <c r="U9" s="10">
        <f>X9-H20</f>
        <v>4933</v>
      </c>
      <c r="V9" s="11">
        <f t="shared" si="1"/>
        <v>0.9725946372</v>
      </c>
      <c r="X9" s="10">
        <v>42832.0</v>
      </c>
    </row>
    <row r="10" ht="15.75" customHeight="1">
      <c r="B10" s="7">
        <v>8.0</v>
      </c>
      <c r="C10" s="8" t="s">
        <v>179</v>
      </c>
      <c r="D10" s="7" t="s">
        <v>180</v>
      </c>
      <c r="F10" s="7" t="s">
        <v>181</v>
      </c>
      <c r="H10" s="8">
        <v>4.6931</v>
      </c>
      <c r="Q10" s="10">
        <v>5072.0</v>
      </c>
      <c r="R10" s="10">
        <v>7.0</v>
      </c>
      <c r="S10" s="10">
        <v>2734.0</v>
      </c>
      <c r="T10" s="10">
        <v>684.0</v>
      </c>
      <c r="U10" s="10">
        <f>X10-H20</f>
        <v>4929</v>
      </c>
      <c r="V10" s="11">
        <f t="shared" si="1"/>
        <v>0.9718059937</v>
      </c>
      <c r="X10" s="10">
        <v>42828.0</v>
      </c>
    </row>
    <row r="11" ht="15.75" customHeight="1">
      <c r="B11" s="7">
        <v>9.0</v>
      </c>
      <c r="C11" s="8" t="s">
        <v>182</v>
      </c>
      <c r="D11" s="7" t="s">
        <v>183</v>
      </c>
      <c r="F11" s="7" t="s">
        <v>184</v>
      </c>
      <c r="H11" s="8">
        <v>4.5251</v>
      </c>
      <c r="Q11" s="10">
        <v>5072.0</v>
      </c>
      <c r="R11" s="10">
        <v>8.0</v>
      </c>
      <c r="S11" s="10">
        <v>2730.0</v>
      </c>
      <c r="T11" s="10">
        <v>684.0</v>
      </c>
      <c r="U11" s="10">
        <f>X11-H20</f>
        <v>4925</v>
      </c>
      <c r="V11" s="11">
        <f t="shared" si="1"/>
        <v>0.9710173502</v>
      </c>
      <c r="X11" s="10">
        <v>42824.0</v>
      </c>
    </row>
    <row r="12" ht="15.75" customHeight="1">
      <c r="B12" s="7">
        <v>10.0</v>
      </c>
      <c r="C12" s="8" t="s">
        <v>185</v>
      </c>
      <c r="D12" s="7" t="s">
        <v>186</v>
      </c>
      <c r="Q12" s="10">
        <v>5072.0</v>
      </c>
      <c r="R12" s="10">
        <v>9.0</v>
      </c>
      <c r="S12" s="10">
        <v>2537.0</v>
      </c>
      <c r="T12" s="10">
        <v>686.0</v>
      </c>
      <c r="U12" s="10">
        <f>X12-H20</f>
        <v>4734</v>
      </c>
      <c r="V12" s="11">
        <f t="shared" si="1"/>
        <v>0.9333596215</v>
      </c>
      <c r="X12" s="10">
        <v>42633.0</v>
      </c>
    </row>
    <row r="13" ht="15.75" customHeight="1">
      <c r="Q13" s="10">
        <v>5072.0</v>
      </c>
      <c r="R13" s="10">
        <v>10.0</v>
      </c>
      <c r="S13" s="10">
        <v>2727.0</v>
      </c>
      <c r="T13" s="10">
        <v>687.0</v>
      </c>
      <c r="U13" s="10">
        <f>X13-H20</f>
        <v>4930</v>
      </c>
      <c r="V13" s="11">
        <f t="shared" si="1"/>
        <v>0.9720031546</v>
      </c>
      <c r="X13" s="10">
        <v>42829.0</v>
      </c>
    </row>
    <row r="14" ht="15.75" customHeight="1">
      <c r="H14" s="7">
        <f>AVERAGE(H2:H11)</f>
        <v>7.35691</v>
      </c>
    </row>
    <row r="15" ht="15.75" customHeight="1"/>
    <row r="16" ht="15.75" customHeight="1">
      <c r="L16" s="10" t="s">
        <v>187</v>
      </c>
    </row>
    <row r="17" ht="15.75" customHeight="1">
      <c r="L17" s="10" t="s">
        <v>188</v>
      </c>
      <c r="M17" s="10">
        <v>441.0</v>
      </c>
    </row>
    <row r="18" ht="15.75" customHeight="1"/>
    <row r="19" ht="15.75" customHeight="1"/>
    <row r="20" ht="15.75" customHeight="1">
      <c r="A20" s="10" t="s">
        <v>104</v>
      </c>
      <c r="B20" s="10" t="s">
        <v>69</v>
      </c>
      <c r="C20" s="10" t="s">
        <v>162</v>
      </c>
      <c r="D20" s="10" t="s">
        <v>189</v>
      </c>
      <c r="E20" s="10" t="s">
        <v>190</v>
      </c>
      <c r="F20" s="10" t="s">
        <v>156</v>
      </c>
      <c r="G20" s="10" t="s">
        <v>110</v>
      </c>
      <c r="H20" s="10">
        <v>37899.0</v>
      </c>
    </row>
    <row r="21" ht="15.75" customHeight="1">
      <c r="A21" s="10">
        <v>1.0</v>
      </c>
      <c r="B21" s="18">
        <f>2719-421</f>
        <v>2298</v>
      </c>
      <c r="C21" s="19">
        <f t="shared" ref="C21:C28" si="2">684-20</f>
        <v>664</v>
      </c>
      <c r="D21" s="18">
        <f t="shared" ref="D21:D22" si="3">SUM(B21:C21)</f>
        <v>2962</v>
      </c>
      <c r="E21" s="18">
        <f t="shared" ref="E21:E30" si="4">2866+695</f>
        <v>3561</v>
      </c>
      <c r="F21" s="11">
        <f t="shared" ref="F21:F30" si="5">D21/E21</f>
        <v>0.8317888234</v>
      </c>
      <c r="G21" s="20">
        <v>8.3277</v>
      </c>
    </row>
    <row r="22" ht="15.75" customHeight="1">
      <c r="A22" s="10">
        <v>2.0</v>
      </c>
      <c r="B22" s="18">
        <f>2718-421</f>
        <v>2297</v>
      </c>
      <c r="C22" s="19">
        <f t="shared" si="2"/>
        <v>664</v>
      </c>
      <c r="D22" s="18">
        <f t="shared" si="3"/>
        <v>2961</v>
      </c>
      <c r="E22" s="18">
        <f t="shared" si="4"/>
        <v>3561</v>
      </c>
      <c r="F22" s="11">
        <f t="shared" si="5"/>
        <v>0.8315080034</v>
      </c>
      <c r="G22" s="20">
        <v>8.2942</v>
      </c>
    </row>
    <row r="23" ht="15.75" customHeight="1">
      <c r="A23" s="10">
        <v>3.0</v>
      </c>
      <c r="B23" s="18">
        <f t="shared" ref="B23:B24" si="6">2719-421</f>
        <v>2298</v>
      </c>
      <c r="C23" s="19">
        <f t="shared" si="2"/>
        <v>664</v>
      </c>
      <c r="D23" s="18">
        <f>SUM(B23:C23)-441</f>
        <v>2521</v>
      </c>
      <c r="E23" s="18">
        <f t="shared" si="4"/>
        <v>3561</v>
      </c>
      <c r="F23" s="11">
        <f t="shared" si="5"/>
        <v>0.7079472058</v>
      </c>
      <c r="G23" s="20">
        <v>8.3167</v>
      </c>
    </row>
    <row r="24" ht="15.75" customHeight="1">
      <c r="A24" s="10">
        <v>4.0</v>
      </c>
      <c r="B24" s="19">
        <f t="shared" si="6"/>
        <v>2298</v>
      </c>
      <c r="C24" s="19">
        <f t="shared" si="2"/>
        <v>664</v>
      </c>
      <c r="D24" s="18">
        <f t="shared" ref="D24:D25" si="7">SUM(B24:C24)</f>
        <v>2962</v>
      </c>
      <c r="E24" s="18">
        <f t="shared" si="4"/>
        <v>3561</v>
      </c>
      <c r="F24" s="11">
        <f t="shared" si="5"/>
        <v>0.8317888234</v>
      </c>
      <c r="G24" s="20">
        <v>8.3576</v>
      </c>
    </row>
    <row r="25" ht="15.75" customHeight="1">
      <c r="A25" s="10">
        <v>5.0</v>
      </c>
      <c r="B25" s="19">
        <f>2369-421</f>
        <v>1948</v>
      </c>
      <c r="C25" s="19">
        <f t="shared" si="2"/>
        <v>664</v>
      </c>
      <c r="D25" s="18">
        <f t="shared" si="7"/>
        <v>2612</v>
      </c>
      <c r="E25" s="18">
        <f t="shared" si="4"/>
        <v>3561</v>
      </c>
      <c r="F25" s="11">
        <f t="shared" si="5"/>
        <v>0.7335018253</v>
      </c>
      <c r="G25" s="20">
        <v>5.7922</v>
      </c>
    </row>
    <row r="26" ht="15.75" customHeight="1">
      <c r="A26" s="10">
        <v>6.0</v>
      </c>
      <c r="B26" s="19">
        <f>2738-421</f>
        <v>2317</v>
      </c>
      <c r="C26" s="19">
        <f t="shared" si="2"/>
        <v>664</v>
      </c>
      <c r="D26" s="18">
        <f>SUM(B26:C26)-441</f>
        <v>2540</v>
      </c>
      <c r="E26" s="18">
        <f t="shared" si="4"/>
        <v>3561</v>
      </c>
      <c r="F26" s="11">
        <f t="shared" si="5"/>
        <v>0.7132827857</v>
      </c>
      <c r="G26" s="20">
        <v>8.4225</v>
      </c>
    </row>
    <row r="27" ht="15.75" customHeight="1">
      <c r="A27" s="10">
        <v>7.0</v>
      </c>
      <c r="B27" s="19">
        <f>2734-421</f>
        <v>2313</v>
      </c>
      <c r="C27" s="19">
        <f t="shared" si="2"/>
        <v>664</v>
      </c>
      <c r="D27" s="18">
        <f t="shared" ref="D27:D28" si="8">SUM(B27:C27)</f>
        <v>2977</v>
      </c>
      <c r="E27" s="18">
        <f t="shared" si="4"/>
        <v>3561</v>
      </c>
      <c r="F27" s="11">
        <f t="shared" si="5"/>
        <v>0.8360011233</v>
      </c>
      <c r="G27" s="20">
        <v>8.4213</v>
      </c>
    </row>
    <row r="28" ht="15.75" customHeight="1">
      <c r="A28" s="10">
        <v>8.0</v>
      </c>
      <c r="B28" s="19">
        <f>2730-421</f>
        <v>2309</v>
      </c>
      <c r="C28" s="19">
        <f t="shared" si="2"/>
        <v>664</v>
      </c>
      <c r="D28" s="18">
        <f t="shared" si="8"/>
        <v>2973</v>
      </c>
      <c r="E28" s="18">
        <f t="shared" si="4"/>
        <v>3561</v>
      </c>
      <c r="F28" s="11">
        <f t="shared" si="5"/>
        <v>0.8348778433</v>
      </c>
      <c r="G28" s="20">
        <v>8.4187</v>
      </c>
    </row>
    <row r="29" ht="15.75" customHeight="1">
      <c r="A29" s="10">
        <v>9.0</v>
      </c>
      <c r="B29" s="19">
        <f>2537-421</f>
        <v>2116</v>
      </c>
      <c r="C29" s="19">
        <f>686-20</f>
        <v>666</v>
      </c>
      <c r="D29" s="18">
        <f>SUM(B29:C29)-441</f>
        <v>2341</v>
      </c>
      <c r="E29" s="18">
        <f t="shared" si="4"/>
        <v>3561</v>
      </c>
      <c r="F29" s="11">
        <f t="shared" si="5"/>
        <v>0.6573996069</v>
      </c>
      <c r="G29" s="20">
        <v>4.6931</v>
      </c>
    </row>
    <row r="30" ht="15.75" customHeight="1">
      <c r="A30" s="10">
        <v>10.0</v>
      </c>
      <c r="B30" s="19">
        <f>2727-421</f>
        <v>2306</v>
      </c>
      <c r="C30" s="19">
        <f>687-20</f>
        <v>667</v>
      </c>
      <c r="D30" s="18">
        <f>SUM(B30:C30)</f>
        <v>2973</v>
      </c>
      <c r="E30" s="18">
        <f t="shared" si="4"/>
        <v>3561</v>
      </c>
      <c r="F30" s="11">
        <f t="shared" si="5"/>
        <v>0.8348778433</v>
      </c>
      <c r="G30" s="20">
        <v>4.5251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75.25"/>
    <col customWidth="1" min="4" max="4" width="45.25"/>
    <col customWidth="1" min="5" max="5" width="14.38"/>
    <col customWidth="1" min="6" max="6" width="22.63"/>
    <col customWidth="1" min="7" max="26" width="14.38"/>
  </cols>
  <sheetData>
    <row r="1" ht="15.75" customHeight="1">
      <c r="F1" s="7" t="s">
        <v>191</v>
      </c>
      <c r="G1" s="7" t="s">
        <v>40</v>
      </c>
    </row>
    <row r="2" ht="15.75" customHeight="1">
      <c r="C2" s="7" t="s">
        <v>41</v>
      </c>
      <c r="D2" s="7" t="s">
        <v>42</v>
      </c>
      <c r="F2" s="7" t="s">
        <v>192</v>
      </c>
      <c r="G2" s="7">
        <v>18253.0</v>
      </c>
    </row>
    <row r="3" ht="15.75" customHeight="1">
      <c r="B3" s="7">
        <v>1.0</v>
      </c>
      <c r="C3" s="7" t="s">
        <v>193</v>
      </c>
      <c r="D3" s="7" t="s">
        <v>45</v>
      </c>
      <c r="F3" s="7" t="s">
        <v>67</v>
      </c>
    </row>
    <row r="4" ht="15.75" customHeight="1">
      <c r="B4" s="7">
        <v>2.0</v>
      </c>
      <c r="C4" s="7" t="s">
        <v>194</v>
      </c>
      <c r="D4" s="7" t="s">
        <v>45</v>
      </c>
      <c r="F4" s="7" t="s">
        <v>195</v>
      </c>
    </row>
    <row r="5" ht="15.75" customHeight="1">
      <c r="B5" s="7">
        <v>3.0</v>
      </c>
      <c r="C5" s="7" t="s">
        <v>196</v>
      </c>
      <c r="D5" s="7" t="s">
        <v>45</v>
      </c>
      <c r="F5" s="7" t="s">
        <v>197</v>
      </c>
    </row>
    <row r="6" ht="15.75" customHeight="1">
      <c r="B6" s="7">
        <v>4.0</v>
      </c>
      <c r="C6" s="7" t="s">
        <v>198</v>
      </c>
      <c r="D6" s="7" t="s">
        <v>45</v>
      </c>
      <c r="F6" s="7" t="s">
        <v>168</v>
      </c>
    </row>
    <row r="7" ht="15.75" customHeight="1">
      <c r="B7" s="7">
        <v>5.0</v>
      </c>
      <c r="C7" s="7" t="s">
        <v>199</v>
      </c>
      <c r="D7" s="7" t="s">
        <v>45</v>
      </c>
      <c r="F7" s="7" t="s">
        <v>200</v>
      </c>
    </row>
    <row r="8" ht="15.75" customHeight="1">
      <c r="B8" s="7">
        <v>6.0</v>
      </c>
      <c r="C8" s="7" t="s">
        <v>201</v>
      </c>
      <c r="D8" s="7" t="s">
        <v>45</v>
      </c>
      <c r="F8" s="7" t="s">
        <v>202</v>
      </c>
    </row>
    <row r="9" ht="15.75" customHeight="1">
      <c r="B9" s="7">
        <v>7.0</v>
      </c>
      <c r="C9" s="7" t="s">
        <v>203</v>
      </c>
      <c r="D9" s="7" t="s">
        <v>45</v>
      </c>
      <c r="F9" s="7" t="s">
        <v>204</v>
      </c>
    </row>
    <row r="10" ht="15.75" customHeight="1">
      <c r="B10" s="7">
        <v>8.0</v>
      </c>
      <c r="C10" s="7" t="s">
        <v>205</v>
      </c>
      <c r="D10" s="7" t="s">
        <v>45</v>
      </c>
    </row>
    <row r="11" ht="15.75" customHeight="1">
      <c r="B11" s="7">
        <v>9.0</v>
      </c>
      <c r="C11" s="7" t="s">
        <v>206</v>
      </c>
      <c r="D11" s="7" t="s">
        <v>45</v>
      </c>
    </row>
    <row r="12" ht="15.75" customHeight="1">
      <c r="B12" s="7">
        <v>10.0</v>
      </c>
      <c r="C12" s="7" t="s">
        <v>207</v>
      </c>
      <c r="D12" s="7" t="s">
        <v>45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92.13"/>
    <col customWidth="1" min="4" max="4" width="42.38"/>
    <col customWidth="1" min="5" max="5" width="26.75"/>
    <col customWidth="1" min="6" max="26" width="14.38"/>
  </cols>
  <sheetData>
    <row r="1" ht="15.75" customHeight="1">
      <c r="E1" s="7" t="s">
        <v>208</v>
      </c>
      <c r="F1" s="7" t="s">
        <v>40</v>
      </c>
    </row>
    <row r="2" ht="15.75" customHeight="1">
      <c r="C2" s="7" t="s">
        <v>41</v>
      </c>
      <c r="D2" s="7" t="s">
        <v>42</v>
      </c>
      <c r="E2" s="7" t="s">
        <v>209</v>
      </c>
      <c r="F2" s="7">
        <v>4677.0</v>
      </c>
    </row>
    <row r="3" ht="15.75" customHeight="1">
      <c r="B3" s="7">
        <v>1.0</v>
      </c>
      <c r="C3" s="7" t="s">
        <v>210</v>
      </c>
      <c r="D3" s="7" t="s">
        <v>45</v>
      </c>
      <c r="E3" s="7" t="s">
        <v>211</v>
      </c>
    </row>
    <row r="4" ht="15.75" customHeight="1">
      <c r="B4" s="7">
        <v>2.0</v>
      </c>
      <c r="C4" s="7" t="s">
        <v>212</v>
      </c>
      <c r="D4" s="7" t="s">
        <v>45</v>
      </c>
      <c r="E4" s="7" t="s">
        <v>213</v>
      </c>
    </row>
    <row r="5" ht="15.75" customHeight="1">
      <c r="B5" s="7">
        <v>3.0</v>
      </c>
      <c r="C5" s="7" t="s">
        <v>214</v>
      </c>
      <c r="D5" s="7" t="s">
        <v>45</v>
      </c>
      <c r="E5" s="7" t="s">
        <v>215</v>
      </c>
    </row>
    <row r="6" ht="15.75" customHeight="1">
      <c r="B6" s="7">
        <v>4.0</v>
      </c>
      <c r="C6" s="7" t="s">
        <v>216</v>
      </c>
      <c r="D6" s="7" t="s">
        <v>45</v>
      </c>
      <c r="E6" s="7" t="s">
        <v>217</v>
      </c>
    </row>
    <row r="7" ht="15.75" customHeight="1">
      <c r="B7" s="7">
        <v>5.0</v>
      </c>
      <c r="C7" s="7" t="s">
        <v>218</v>
      </c>
      <c r="D7" s="7" t="s">
        <v>45</v>
      </c>
      <c r="E7" s="7" t="s">
        <v>219</v>
      </c>
    </row>
    <row r="8" ht="15.75" customHeight="1">
      <c r="B8" s="7">
        <v>6.0</v>
      </c>
      <c r="C8" s="7" t="s">
        <v>220</v>
      </c>
      <c r="D8" s="7" t="s">
        <v>45</v>
      </c>
    </row>
    <row r="9" ht="15.75" customHeight="1">
      <c r="B9" s="7">
        <v>7.0</v>
      </c>
      <c r="C9" s="7" t="s">
        <v>221</v>
      </c>
      <c r="D9" s="7" t="s">
        <v>45</v>
      </c>
    </row>
    <row r="10" ht="15.75" customHeight="1">
      <c r="B10" s="7">
        <v>8.0</v>
      </c>
      <c r="C10" s="7" t="s">
        <v>222</v>
      </c>
      <c r="D10" s="7" t="s">
        <v>45</v>
      </c>
    </row>
    <row r="11" ht="15.75" customHeight="1">
      <c r="B11" s="7">
        <v>9.0</v>
      </c>
      <c r="C11" s="7" t="s">
        <v>223</v>
      </c>
      <c r="D11" s="7" t="s">
        <v>45</v>
      </c>
    </row>
    <row r="12" ht="15.75" customHeight="1">
      <c r="B12" s="7">
        <v>10.0</v>
      </c>
      <c r="C12" s="7" t="s">
        <v>224</v>
      </c>
      <c r="D12" s="7" t="s">
        <v>45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98.38"/>
    <col customWidth="1" min="4" max="5" width="23.88"/>
    <col customWidth="1" min="6" max="26" width="14.38"/>
  </cols>
  <sheetData>
    <row r="1" ht="15.75" customHeight="1"/>
    <row r="2" ht="15.75" customHeight="1">
      <c r="C2" s="7" t="s">
        <v>41</v>
      </c>
      <c r="D2" s="7" t="s">
        <v>42</v>
      </c>
      <c r="E2" s="7" t="s">
        <v>225</v>
      </c>
      <c r="F2" s="7" t="s">
        <v>112</v>
      </c>
    </row>
    <row r="3" ht="15.75" customHeight="1">
      <c r="B3" s="7">
        <v>1.0</v>
      </c>
      <c r="C3" s="7" t="s">
        <v>226</v>
      </c>
      <c r="D3" s="7" t="s">
        <v>45</v>
      </c>
      <c r="E3" s="7" t="s">
        <v>227</v>
      </c>
      <c r="F3" s="7">
        <v>124942.0</v>
      </c>
    </row>
    <row r="4" ht="15.75" customHeight="1">
      <c r="B4" s="7">
        <v>2.0</v>
      </c>
      <c r="C4" s="7" t="s">
        <v>228</v>
      </c>
      <c r="D4" s="7" t="s">
        <v>45</v>
      </c>
      <c r="E4" s="7" t="s">
        <v>229</v>
      </c>
    </row>
    <row r="5" ht="15.75" customHeight="1">
      <c r="B5" s="7">
        <v>3.0</v>
      </c>
      <c r="C5" s="7" t="s">
        <v>230</v>
      </c>
      <c r="D5" s="7" t="s">
        <v>45</v>
      </c>
      <c r="E5" s="7" t="s">
        <v>231</v>
      </c>
    </row>
    <row r="6" ht="15.75" customHeight="1">
      <c r="B6" s="7">
        <v>4.0</v>
      </c>
      <c r="C6" s="7" t="s">
        <v>232</v>
      </c>
      <c r="D6" s="7" t="s">
        <v>45</v>
      </c>
      <c r="E6" s="7" t="s">
        <v>233</v>
      </c>
    </row>
    <row r="7" ht="15.75" customHeight="1">
      <c r="B7" s="7">
        <v>5.0</v>
      </c>
      <c r="C7" s="7" t="s">
        <v>234</v>
      </c>
      <c r="D7" s="7" t="s">
        <v>45</v>
      </c>
      <c r="E7" s="7" t="s">
        <v>213</v>
      </c>
    </row>
    <row r="8" ht="15.75" customHeight="1">
      <c r="B8" s="7">
        <v>6.0</v>
      </c>
      <c r="C8" s="7" t="s">
        <v>235</v>
      </c>
      <c r="D8" s="7" t="s">
        <v>45</v>
      </c>
      <c r="E8" s="7" t="s">
        <v>236</v>
      </c>
    </row>
    <row r="9" ht="15.75" customHeight="1">
      <c r="B9" s="7">
        <v>7.0</v>
      </c>
      <c r="C9" s="7" t="s">
        <v>237</v>
      </c>
      <c r="D9" s="7" t="s">
        <v>45</v>
      </c>
      <c r="E9" s="7" t="s">
        <v>238</v>
      </c>
    </row>
    <row r="10" ht="15.75" customHeight="1">
      <c r="B10" s="7">
        <v>8.0</v>
      </c>
      <c r="C10" s="7" t="s">
        <v>239</v>
      </c>
      <c r="D10" s="7" t="s">
        <v>45</v>
      </c>
      <c r="E10" s="7" t="s">
        <v>240</v>
      </c>
    </row>
    <row r="11" ht="15.75" customHeight="1">
      <c r="B11" s="7">
        <v>9.0</v>
      </c>
      <c r="C11" s="7" t="s">
        <v>241</v>
      </c>
      <c r="D11" s="7" t="s">
        <v>45</v>
      </c>
      <c r="E11" s="7" t="s">
        <v>242</v>
      </c>
    </row>
    <row r="12" ht="15.75" customHeight="1">
      <c r="B12" s="7">
        <v>10.0</v>
      </c>
      <c r="C12" s="7" t="s">
        <v>243</v>
      </c>
      <c r="D12" s="7" t="s">
        <v>45</v>
      </c>
      <c r="E12" s="7" t="s">
        <v>244</v>
      </c>
    </row>
    <row r="13" ht="15.75" customHeight="1">
      <c r="E13" s="7" t="s">
        <v>245</v>
      </c>
    </row>
    <row r="14" ht="15.75" customHeight="1">
      <c r="E14" s="7" t="s">
        <v>246</v>
      </c>
    </row>
    <row r="15" ht="15.75" customHeight="1">
      <c r="E15" s="7" t="s">
        <v>247</v>
      </c>
    </row>
    <row r="16" ht="15.75" customHeight="1">
      <c r="E16" s="7" t="s">
        <v>248</v>
      </c>
    </row>
    <row r="17" ht="15.75" customHeight="1">
      <c r="E17" s="7" t="s">
        <v>249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72.25"/>
    <col customWidth="1" min="4" max="4" width="56.0"/>
    <col customWidth="1" min="5" max="26" width="14.38"/>
  </cols>
  <sheetData>
    <row r="1" ht="15.75" customHeight="1"/>
    <row r="2" ht="15.75" customHeight="1">
      <c r="C2" s="7" t="s">
        <v>41</v>
      </c>
      <c r="D2" s="7" t="s">
        <v>42</v>
      </c>
      <c r="F2" s="7" t="s">
        <v>40</v>
      </c>
    </row>
    <row r="3" ht="15.75" customHeight="1">
      <c r="B3" s="7">
        <v>1.0</v>
      </c>
      <c r="C3" s="7" t="s">
        <v>250</v>
      </c>
      <c r="D3" s="7" t="s">
        <v>45</v>
      </c>
      <c r="F3" s="7">
        <v>14615.0</v>
      </c>
    </row>
    <row r="4" ht="15.75" customHeight="1">
      <c r="B4" s="7">
        <v>2.0</v>
      </c>
      <c r="C4" s="7" t="s">
        <v>251</v>
      </c>
      <c r="D4" s="7" t="s">
        <v>45</v>
      </c>
    </row>
    <row r="5" ht="15.75" customHeight="1">
      <c r="B5" s="7">
        <v>3.0</v>
      </c>
      <c r="C5" s="7" t="s">
        <v>252</v>
      </c>
      <c r="D5" s="7" t="s">
        <v>45</v>
      </c>
    </row>
    <row r="6" ht="15.75" customHeight="1">
      <c r="B6" s="7">
        <v>4.0</v>
      </c>
      <c r="C6" s="7" t="s">
        <v>253</v>
      </c>
      <c r="D6" s="7" t="s">
        <v>45</v>
      </c>
    </row>
    <row r="7" ht="15.75" customHeight="1">
      <c r="B7" s="7">
        <v>5.0</v>
      </c>
      <c r="C7" s="7" t="s">
        <v>254</v>
      </c>
      <c r="D7" s="7" t="s">
        <v>45</v>
      </c>
    </row>
    <row r="8" ht="15.75" customHeight="1">
      <c r="B8" s="7">
        <v>6.0</v>
      </c>
      <c r="C8" s="7" t="s">
        <v>255</v>
      </c>
      <c r="D8" s="7" t="s">
        <v>45</v>
      </c>
    </row>
    <row r="9" ht="15.75" customHeight="1">
      <c r="B9" s="7">
        <v>7.0</v>
      </c>
      <c r="C9" s="7" t="s">
        <v>256</v>
      </c>
      <c r="D9" s="7" t="s">
        <v>45</v>
      </c>
    </row>
    <row r="10" ht="15.75" customHeight="1">
      <c r="B10" s="7">
        <v>8.0</v>
      </c>
      <c r="C10" s="7" t="s">
        <v>257</v>
      </c>
      <c r="D10" s="7" t="s">
        <v>45</v>
      </c>
    </row>
    <row r="11" ht="15.75" customHeight="1">
      <c r="B11" s="7">
        <v>9.0</v>
      </c>
      <c r="C11" s="7" t="s">
        <v>258</v>
      </c>
      <c r="D11" s="7" t="s">
        <v>45</v>
      </c>
    </row>
    <row r="12" ht="15.75" customHeight="1">
      <c r="B12" s="7">
        <v>10.0</v>
      </c>
      <c r="C12" s="7" t="s">
        <v>259</v>
      </c>
      <c r="D12" s="7" t="s">
        <v>45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84.63"/>
    <col customWidth="1" min="4" max="6" width="35.0"/>
    <col customWidth="1" min="7" max="26" width="14.38"/>
  </cols>
  <sheetData>
    <row r="1" ht="15.75" customHeight="1"/>
    <row r="2" ht="15.75" customHeight="1">
      <c r="C2" s="7" t="s">
        <v>41</v>
      </c>
      <c r="D2" s="7" t="s">
        <v>42</v>
      </c>
    </row>
    <row r="3" ht="15.75" customHeight="1">
      <c r="B3" s="7">
        <v>1.0</v>
      </c>
      <c r="C3" s="7" t="s">
        <v>260</v>
      </c>
      <c r="D3" s="7" t="s">
        <v>45</v>
      </c>
    </row>
    <row r="4" ht="15.75" customHeight="1">
      <c r="B4" s="7">
        <v>2.0</v>
      </c>
      <c r="C4" s="7" t="s">
        <v>261</v>
      </c>
      <c r="D4" s="7" t="s">
        <v>45</v>
      </c>
    </row>
    <row r="5" ht="15.75" customHeight="1">
      <c r="B5" s="7">
        <v>3.0</v>
      </c>
      <c r="C5" s="7" t="s">
        <v>262</v>
      </c>
      <c r="D5" s="7" t="s">
        <v>45</v>
      </c>
    </row>
    <row r="6" ht="15.75" customHeight="1">
      <c r="B6" s="7">
        <v>4.0</v>
      </c>
      <c r="C6" s="7" t="s">
        <v>263</v>
      </c>
      <c r="D6" s="7" t="s">
        <v>45</v>
      </c>
    </row>
    <row r="7" ht="15.75" customHeight="1">
      <c r="B7" s="7">
        <v>5.0</v>
      </c>
      <c r="C7" s="7" t="s">
        <v>264</v>
      </c>
      <c r="D7" s="7" t="s">
        <v>45</v>
      </c>
    </row>
    <row r="8" ht="15.75" customHeight="1">
      <c r="B8" s="7">
        <v>6.0</v>
      </c>
      <c r="C8" s="7" t="s">
        <v>265</v>
      </c>
      <c r="D8" s="7" t="s">
        <v>45</v>
      </c>
    </row>
    <row r="9" ht="15.75" customHeight="1">
      <c r="B9" s="7">
        <v>7.0</v>
      </c>
      <c r="C9" s="7" t="s">
        <v>266</v>
      </c>
      <c r="D9" s="7" t="s">
        <v>45</v>
      </c>
    </row>
    <row r="10" ht="15.75" customHeight="1">
      <c r="B10" s="7">
        <v>8.0</v>
      </c>
      <c r="C10" s="7" t="s">
        <v>267</v>
      </c>
      <c r="D10" s="7" t="s">
        <v>45</v>
      </c>
    </row>
    <row r="11" ht="15.75" customHeight="1">
      <c r="B11" s="7">
        <v>9.0</v>
      </c>
      <c r="C11" s="7" t="s">
        <v>268</v>
      </c>
      <c r="D11" s="7" t="s">
        <v>45</v>
      </c>
    </row>
    <row r="12" ht="15.75" customHeight="1">
      <c r="B12" s="7">
        <v>10.0</v>
      </c>
      <c r="C12" s="7" t="s">
        <v>269</v>
      </c>
      <c r="D12" s="7" t="s">
        <v>45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92.25"/>
    <col customWidth="1" min="4" max="4" width="25.88"/>
    <col customWidth="1" min="5" max="26" width="14.38"/>
  </cols>
  <sheetData>
    <row r="1" ht="15.75" customHeight="1"/>
    <row r="2" ht="15.75" customHeight="1">
      <c r="C2" s="7" t="s">
        <v>41</v>
      </c>
      <c r="D2" s="7" t="s">
        <v>42</v>
      </c>
    </row>
    <row r="3" ht="15.75" customHeight="1">
      <c r="B3" s="7">
        <v>1.0</v>
      </c>
      <c r="C3" s="7" t="s">
        <v>270</v>
      </c>
      <c r="D3" s="7" t="s">
        <v>45</v>
      </c>
    </row>
    <row r="4" ht="15.75" customHeight="1">
      <c r="B4" s="7">
        <v>2.0</v>
      </c>
      <c r="C4" s="7" t="s">
        <v>271</v>
      </c>
      <c r="D4" s="7" t="s">
        <v>45</v>
      </c>
    </row>
    <row r="5" ht="15.75" customHeight="1">
      <c r="B5" s="7">
        <v>3.0</v>
      </c>
      <c r="C5" s="7" t="s">
        <v>272</v>
      </c>
      <c r="D5" s="7" t="s">
        <v>45</v>
      </c>
    </row>
    <row r="6" ht="15.75" customHeight="1">
      <c r="B6" s="7">
        <v>4.0</v>
      </c>
      <c r="C6" s="7" t="s">
        <v>273</v>
      </c>
      <c r="D6" s="7" t="s">
        <v>45</v>
      </c>
    </row>
    <row r="7" ht="15.75" customHeight="1">
      <c r="B7" s="7">
        <v>5.0</v>
      </c>
      <c r="C7" s="7" t="s">
        <v>274</v>
      </c>
      <c r="D7" s="7" t="s">
        <v>45</v>
      </c>
    </row>
    <row r="8" ht="15.75" customHeight="1">
      <c r="B8" s="7">
        <v>6.0</v>
      </c>
      <c r="C8" s="7" t="s">
        <v>275</v>
      </c>
      <c r="D8" s="7" t="s">
        <v>45</v>
      </c>
    </row>
    <row r="9" ht="15.75" customHeight="1">
      <c r="B9" s="7">
        <v>7.0</v>
      </c>
      <c r="C9" s="7" t="s">
        <v>276</v>
      </c>
      <c r="D9" s="7" t="s">
        <v>45</v>
      </c>
    </row>
    <row r="10" ht="15.75" customHeight="1">
      <c r="B10" s="7">
        <v>8.0</v>
      </c>
      <c r="C10" s="7" t="s">
        <v>277</v>
      </c>
      <c r="D10" s="7" t="s">
        <v>45</v>
      </c>
    </row>
    <row r="11" ht="15.75" customHeight="1">
      <c r="B11" s="7">
        <v>9.0</v>
      </c>
      <c r="C11" s="7" t="s">
        <v>278</v>
      </c>
      <c r="D11" s="7" t="s">
        <v>45</v>
      </c>
    </row>
    <row r="12" ht="15.75" customHeight="1">
      <c r="B12" s="7">
        <v>10.0</v>
      </c>
      <c r="C12" s="7" t="s">
        <v>279</v>
      </c>
      <c r="D12" s="7" t="s">
        <v>45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2022-05-11T00:32:11Z</dcterms:created>
  <dc:creator>Haoran Yang</dc:creator>
</cp:coreProperties>
</file>